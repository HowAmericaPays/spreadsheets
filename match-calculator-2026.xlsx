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2F0EB"/>
      <sz val="11"/>
    </font>
    <font>
      <color rgb="00000000"/>
      <sz val="11"/>
    </font>
    <font>
      <b val="1"/>
      <color rgb="00000000"/>
      <sz val="11"/>
    </font>
    <font>
      <i val="1"/>
      <color rgb="007A7A7A"/>
      <sz val="10"/>
    </font>
    <font>
      <b val="1"/>
      <color rgb="000F1B2D"/>
      <sz val="13"/>
    </font>
    <font>
      <i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C2503F"/>
      </patternFill>
    </fill>
    <fill>
      <patternFill patternType="solid">
        <fgColor rgb="000F1B2D"/>
      </patternFill>
    </fill>
    <fill>
      <patternFill patternType="solid">
        <fgColor rgb="00E8A33D"/>
      </patternFill>
    </fill>
    <fill>
      <patternFill patternType="solid">
        <fgColor rgb="00EDEFF2"/>
      </patternFill>
    </fill>
    <fill>
      <patternFill patternType="solid">
        <fgColor rgb="00E3F0E8"/>
      </patternFill>
    </fill>
    <fill>
      <patternFill patternType="solid">
        <fgColor rgb="00F7E4E0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pivotButton="0" quotePrefix="0" xfId="0"/>
    <xf numFmtId="164" fontId="4" fillId="4" borderId="1" applyAlignment="1" pivotButton="0" quotePrefix="0" xfId="0">
      <alignment horizontal="right"/>
    </xf>
    <xf numFmtId="0" fontId="5" fillId="0" borderId="0" pivotButton="0" quotePrefix="0" xfId="0"/>
    <xf numFmtId="1" fontId="4" fillId="4" borderId="1" applyAlignment="1" pivotButton="0" quotePrefix="0" xfId="0">
      <alignment horizontal="right"/>
    </xf>
    <xf numFmtId="9" fontId="4" fillId="4" borderId="1" applyAlignment="1" pivotButton="0" quotePrefix="0" xfId="0">
      <alignment horizontal="right"/>
    </xf>
    <xf numFmtId="0" fontId="4" fillId="0" borderId="0" pivotButton="0" quotePrefix="0" xfId="0"/>
    <xf numFmtId="0" fontId="4" fillId="4" borderId="1" applyAlignment="1" pivotButton="0" quotePrefix="0" xfId="0">
      <alignment horizontal="right"/>
    </xf>
    <xf numFmtId="9" fontId="4" fillId="5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1" fontId="4" fillId="5" borderId="1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166" fontId="4" fillId="7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9" fontId="3" fillId="0" borderId="1" applyAlignment="1" pivotButton="0" quotePrefix="0" xfId="0">
      <alignment horizontal="right"/>
    </xf>
    <xf numFmtId="0" fontId="7" fillId="0" borderId="0" applyAlignment="1" pivotButton="0" quotePrefix="0" xfId="0">
      <alignment vertical="center" wrapText="1"/>
    </xf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</cols>
  <sheetData>
    <row r="1" ht="42" customHeight="1">
      <c r="A1" s="1" t="inlineStr">
        <is>
          <t>Educational tool, not financial, tax or legal advice. It models a matching formula and a vesting schedule. Your own plan document is the only place that states yours. 2026 limits.</t>
        </is>
      </c>
    </row>
    <row r="3">
      <c r="A3" s="2" t="inlineStr">
        <is>
          <t>YOUR NUMBERS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Annual salary</t>
        </is>
      </c>
      <c r="C4" s="5" t="n">
        <v>91000</v>
      </c>
      <c r="D4" s="6" t="inlineStr">
        <is>
          <t>← fill every amber cell</t>
        </is>
      </c>
    </row>
    <row r="5">
      <c r="A5" s="4" t="inlineStr">
        <is>
          <t>Paychecks per year</t>
        </is>
      </c>
      <c r="C5" s="7" t="n">
        <v>26</v>
      </c>
    </row>
    <row r="6">
      <c r="A6" s="4" t="inlineStr">
        <is>
          <t>Your contribution rate</t>
        </is>
      </c>
      <c r="C6" s="8" t="n">
        <v>0.05</v>
      </c>
    </row>
    <row r="7">
      <c r="A7" s="4" t="inlineStr">
        <is>
          <t>Years of service</t>
        </is>
      </c>
      <c r="C7" s="7" t="n">
        <v>3</v>
      </c>
      <c r="D7" s="6" t="inlineStr">
        <is>
          <t>used by the vesting tab below</t>
        </is>
      </c>
    </row>
    <row r="9">
      <c r="A9" s="2" t="inlineStr">
        <is>
          <t>YOUR PLAN'S FORMULA</t>
        </is>
      </c>
      <c r="B9" s="3" t="n"/>
      <c r="C9" s="3" t="n"/>
      <c r="D9" s="3" t="n"/>
      <c r="E9" s="3" t="n"/>
      <c r="F9" s="3" t="n"/>
      <c r="G9" s="3" t="n"/>
    </row>
    <row r="10">
      <c r="A10" s="4" t="inlineStr">
        <is>
          <t>Tier 1 — matched up to this much of pay</t>
        </is>
      </c>
      <c r="C10" s="8" t="n">
        <v>0.03</v>
      </c>
      <c r="D10" s="6" t="inlineStr">
        <is>
          <t>defaults = the basic safe harbor match described by the IRS</t>
        </is>
      </c>
    </row>
    <row r="11">
      <c r="A11" s="4" t="inlineStr">
        <is>
          <t>Tier 1 — matched at this rate</t>
        </is>
      </c>
      <c r="C11" s="8" t="n">
        <v>1</v>
      </c>
    </row>
    <row r="12">
      <c r="A12" s="4" t="inlineStr">
        <is>
          <t>Tier 2 — next slice of pay</t>
        </is>
      </c>
      <c r="C12" s="8" t="n">
        <v>0.02</v>
      </c>
      <c r="D12" s="6" t="inlineStr">
        <is>
          <t>set tier 2 to 0% if your plan has a single tier</t>
        </is>
      </c>
    </row>
    <row r="13">
      <c r="A13" s="4" t="inlineStr">
        <is>
          <t>Tier 2 — matched at this rate</t>
        </is>
      </c>
      <c r="C13" s="8" t="n">
        <v>0.5</v>
      </c>
    </row>
    <row r="15">
      <c r="A15" s="9" t="inlineStr">
        <is>
          <t>Match computed</t>
        </is>
      </c>
      <c r="C15" s="10" t="inlineStr">
        <is>
          <t>per paycheck</t>
        </is>
      </c>
      <c r="D15" s="6" t="inlineStr">
        <is>
          <t>type "per paycheck" or "annual" — your plan document says which</t>
        </is>
      </c>
    </row>
    <row r="17">
      <c r="A17" s="2" t="inlineStr">
        <is>
          <t>WHAT THE FORMULA ACTUALLY PAYS</t>
        </is>
      </c>
      <c r="B17" s="3" t="n"/>
      <c r="C17" s="3" t="n"/>
      <c r="D17" s="3" t="n"/>
      <c r="E17" s="3" t="n"/>
      <c r="F17" s="3" t="n"/>
      <c r="G17" s="3" t="n"/>
    </row>
    <row r="18">
      <c r="A18" s="9" t="inlineStr">
        <is>
          <t>Contribution needed to reach the ceiling</t>
        </is>
      </c>
      <c r="C18" s="11">
        <f>$C$10+$C$12</f>
        <v/>
      </c>
    </row>
    <row r="19">
      <c r="A19" s="9" t="inlineStr">
        <is>
          <t>Match ceiling, as a share of pay</t>
        </is>
      </c>
      <c r="C19" s="8">
        <f>$C$10*$C$11+$C$12*$C$13</f>
        <v/>
      </c>
      <c r="D19" s="6" t="inlineStr">
        <is>
          <t>← these two are NOT the same number</t>
        </is>
      </c>
    </row>
    <row r="21">
      <c r="A21" s="9" t="inlineStr">
        <is>
          <t>Your match rate at your contribution rate</t>
        </is>
      </c>
      <c r="C21" s="12">
        <f>MIN($C$6,$C$10)*$C$11+MIN(MAX($C$6-$C$10,0),$C$12)*$C$13</f>
        <v/>
      </c>
      <c r="D21" s="6" t="inlineStr">
        <is>
          <t>flat once you pass the ceiling: more contribution, same match</t>
        </is>
      </c>
    </row>
    <row r="23">
      <c r="A23" s="2" t="inlineStr">
        <is>
          <t>PER PAYCHECK</t>
        </is>
      </c>
      <c r="B23" s="3" t="n"/>
      <c r="C23" s="3" t="n"/>
      <c r="D23" s="3" t="n"/>
      <c r="E23" s="3" t="n"/>
      <c r="F23" s="3" t="n"/>
      <c r="G23" s="3" t="n"/>
    </row>
    <row r="24">
      <c r="A24" s="4" t="inlineStr">
        <is>
          <t>Gross pay per paycheck</t>
        </is>
      </c>
      <c r="C24" s="13">
        <f>$C$4/$C$5</f>
        <v/>
      </c>
    </row>
    <row r="25">
      <c r="A25" s="4" t="inlineStr">
        <is>
          <t>You contribute</t>
        </is>
      </c>
      <c r="C25" s="13">
        <f>$C$24*$C$6</f>
        <v/>
      </c>
    </row>
    <row r="26">
      <c r="A26" s="9" t="inlineStr">
        <is>
          <t>Employer matches</t>
        </is>
      </c>
      <c r="C26" s="14">
        <f>$C$24*$C$21</f>
        <v/>
      </c>
    </row>
    <row r="28">
      <c r="A28" s="2" t="inlineStr">
        <is>
          <t>OVER THE YEAR</t>
        </is>
      </c>
      <c r="B28" s="3" t="n"/>
      <c r="C28" s="3" t="n"/>
      <c r="D28" s="3" t="n"/>
      <c r="E28" s="3" t="n"/>
      <c r="F28" s="3" t="n"/>
      <c r="G28" s="3" t="n"/>
    </row>
    <row r="29">
      <c r="A29" s="9" t="inlineStr">
        <is>
          <t>Paycheck on which you hit the annual limit</t>
        </is>
      </c>
      <c r="C29" s="15">
        <f>IF($C$25&lt;=0,$C$5,MIN($C$5,ROUNDUP(Rates!$B$4/$C$25,0)))</f>
        <v/>
      </c>
      <c r="D29" s="6" t="inlineStr">
        <is>
          <t>if this is below your paycheck count, read the next two lines</t>
        </is>
      </c>
    </row>
    <row r="30">
      <c r="A30" s="4" t="inlineStr">
        <is>
          <t>Paychecks with no contribution left</t>
        </is>
      </c>
      <c r="C30" s="16">
        <f>MAX(0,$C$5-$C$29)</f>
        <v/>
      </c>
    </row>
    <row r="31">
      <c r="A31" s="9" t="inlineStr">
        <is>
          <t>Match if computed ANNUALLY (or trued up)</t>
        </is>
      </c>
      <c r="C31" s="14">
        <f>MIN($C$4,Rates!$B$8)*$C$21</f>
        <v/>
      </c>
    </row>
    <row r="32">
      <c r="A32" s="9" t="inlineStr">
        <is>
          <t>Match if computed PER PAYCHECK</t>
        </is>
      </c>
      <c r="C32" s="17">
        <f>$C$26*$C$29</f>
        <v/>
      </c>
    </row>
    <row r="33">
      <c r="A33" s="9" t="inlineStr">
        <is>
          <t>What the per paycheck computation costs you</t>
        </is>
      </c>
      <c r="C33" s="18">
        <f>MAX(0,$C$31-$C$32)</f>
        <v/>
      </c>
      <c r="D33" s="6" t="inlineStr">
        <is>
          <t>zero if you spread contributions across every paycheck</t>
        </is>
      </c>
    </row>
    <row r="34">
      <c r="A34" s="4" t="inlineStr">
        <is>
          <t>Match actually used by the rest of this file</t>
        </is>
      </c>
      <c r="C34" s="19">
        <f>IF(LOWER($C$15)="annual",$C$31,$C$32)</f>
        <v/>
      </c>
    </row>
    <row r="36">
      <c r="A36" s="2" t="inlineStr">
        <is>
          <t>HOW MUCH OF THE MATCH IS ALREADY YOURS</t>
        </is>
      </c>
      <c r="B36" s="3" t="n"/>
      <c r="C36" s="3" t="n"/>
      <c r="D36" s="3" t="n"/>
      <c r="E36" s="3" t="n"/>
      <c r="F36" s="3" t="n"/>
      <c r="G36" s="3" t="n"/>
    </row>
    <row r="37">
      <c r="B37" s="20" t="inlineStr">
        <is>
          <t>3-year cliff</t>
        </is>
      </c>
      <c r="D37" s="20" t="inlineStr">
        <is>
          <t>6-year graded</t>
        </is>
      </c>
    </row>
    <row r="38">
      <c r="A38" s="4" t="inlineStr">
        <is>
          <t>Vested share at your years of service</t>
        </is>
      </c>
      <c r="B38" s="21">
        <f>IF($C$7&gt;=Rates!$B$12,1,0)</f>
        <v/>
      </c>
      <c r="D38" s="21">
        <f>LOOKUP(MIN($C$7,6),Rates!$F$12:$F$18,Rates!$G$12:$G$18)</f>
        <v/>
      </c>
    </row>
    <row r="39">
      <c r="A39" s="9" t="inlineStr">
        <is>
          <t>Vested dollars from this year's match</t>
        </is>
      </c>
      <c r="B39" s="19">
        <f>$C$34*$B$38</f>
        <v/>
      </c>
      <c r="D39" s="19">
        <f>$C$34*$D$38</f>
        <v/>
      </c>
    </row>
    <row r="41" ht="32" customHeight="1">
      <c r="A41" s="22" t="inlineStr">
        <is>
          <t>These are the LONGEST schedules a plan may use (IRC 411(a)(2)(B)). A plan may vest faster, including immediately. In a safe harbor plan, required employer contributions are 100% vested at all times.</t>
        </is>
      </c>
    </row>
    <row r="43">
      <c r="A43" s="2" t="inlineStr">
        <is>
          <t>WHAT YOU GET AT EVERY CONTRIBUTION RATE</t>
        </is>
      </c>
      <c r="B43" s="3" t="n"/>
      <c r="C43" s="3" t="n"/>
      <c r="D43" s="3" t="n"/>
      <c r="E43" s="3" t="n"/>
      <c r="F43" s="3" t="n"/>
      <c r="G43" s="3" t="n"/>
    </row>
    <row r="44">
      <c r="A44" s="20" t="inlineStr">
        <is>
          <t>You contribute</t>
        </is>
      </c>
      <c r="B44" s="20" t="inlineStr">
        <is>
          <t>Employer match rate</t>
        </is>
      </c>
      <c r="C44" s="20" t="inlineStr">
        <is>
          <t>Your dollars / year</t>
        </is>
      </c>
      <c r="D44" s="20" t="inlineStr">
        <is>
          <t>Match dollars / year</t>
        </is>
      </c>
    </row>
    <row r="45">
      <c r="A45" s="21" t="n">
        <v>0</v>
      </c>
      <c r="B45" s="23">
        <f>MIN($A45,$C$10)*$C$11+MIN(MAX($A45-$C$10,0),$C$12)*$C$13</f>
        <v/>
      </c>
      <c r="C45" s="24">
        <f>MIN($A45*$C$4,Rates!$B$4)</f>
        <v/>
      </c>
      <c r="D45" s="24">
        <f>MIN($C$4,Rates!$B$8)*$B45</f>
        <v/>
      </c>
    </row>
    <row r="46">
      <c r="A46" s="21" t="n">
        <v>0.01</v>
      </c>
      <c r="B46" s="23">
        <f>MIN($A46,$C$10)*$C$11+MIN(MAX($A46-$C$10,0),$C$12)*$C$13</f>
        <v/>
      </c>
      <c r="C46" s="24">
        <f>MIN($A46*$C$4,Rates!$B$4)</f>
        <v/>
      </c>
      <c r="D46" s="24">
        <f>MIN($C$4,Rates!$B$8)*$B46</f>
        <v/>
      </c>
    </row>
    <row r="47">
      <c r="A47" s="21" t="n">
        <v>0.02</v>
      </c>
      <c r="B47" s="23">
        <f>MIN($A47,$C$10)*$C$11+MIN(MAX($A47-$C$10,0),$C$12)*$C$13</f>
        <v/>
      </c>
      <c r="C47" s="24">
        <f>MIN($A47*$C$4,Rates!$B$4)</f>
        <v/>
      </c>
      <c r="D47" s="24">
        <f>MIN($C$4,Rates!$B$8)*$B47</f>
        <v/>
      </c>
    </row>
    <row r="48">
      <c r="A48" s="21" t="n">
        <v>0.03</v>
      </c>
      <c r="B48" s="23">
        <f>MIN($A48,$C$10)*$C$11+MIN(MAX($A48-$C$10,0),$C$12)*$C$13</f>
        <v/>
      </c>
      <c r="C48" s="24">
        <f>MIN($A48*$C$4,Rates!$B$4)</f>
        <v/>
      </c>
      <c r="D48" s="24">
        <f>MIN($C$4,Rates!$B$8)*$B48</f>
        <v/>
      </c>
    </row>
    <row r="49">
      <c r="A49" s="21" t="n">
        <v>0.04</v>
      </c>
      <c r="B49" s="23">
        <f>MIN($A49,$C$10)*$C$11+MIN(MAX($A49-$C$10,0),$C$12)*$C$13</f>
        <v/>
      </c>
      <c r="C49" s="24">
        <f>MIN($A49*$C$4,Rates!$B$4)</f>
        <v/>
      </c>
      <c r="D49" s="24">
        <f>MIN($C$4,Rates!$B$8)*$B49</f>
        <v/>
      </c>
    </row>
    <row r="50">
      <c r="A50" s="21" t="n">
        <v>0.05</v>
      </c>
      <c r="B50" s="23">
        <f>MIN($A50,$C$10)*$C$11+MIN(MAX($A50-$C$10,0),$C$12)*$C$13</f>
        <v/>
      </c>
      <c r="C50" s="24">
        <f>MIN($A50*$C$4,Rates!$B$4)</f>
        <v/>
      </c>
      <c r="D50" s="24">
        <f>MIN($C$4,Rates!$B$8)*$B50</f>
        <v/>
      </c>
    </row>
    <row r="51">
      <c r="A51" s="21" t="n">
        <v>0.06</v>
      </c>
      <c r="B51" s="23">
        <f>MIN($A51,$C$10)*$C$11+MIN(MAX($A51-$C$10,0),$C$12)*$C$13</f>
        <v/>
      </c>
      <c r="C51" s="24">
        <f>MIN($A51*$C$4,Rates!$B$4)</f>
        <v/>
      </c>
      <c r="D51" s="24">
        <f>MIN($C$4,Rates!$B$8)*$B51</f>
        <v/>
      </c>
    </row>
    <row r="52">
      <c r="A52" s="21" t="n">
        <v>0.07000000000000001</v>
      </c>
      <c r="B52" s="23">
        <f>MIN($A52,$C$10)*$C$11+MIN(MAX($A52-$C$10,0),$C$12)*$C$13</f>
        <v/>
      </c>
      <c r="C52" s="24">
        <f>MIN($A52*$C$4,Rates!$B$4)</f>
        <v/>
      </c>
      <c r="D52" s="24">
        <f>MIN($C$4,Rates!$B$8)*$B52</f>
        <v/>
      </c>
    </row>
    <row r="53">
      <c r="A53" s="21" t="n">
        <v>0.08</v>
      </c>
      <c r="B53" s="23">
        <f>MIN($A53,$C$10)*$C$11+MIN(MAX($A53-$C$10,0),$C$12)*$C$13</f>
        <v/>
      </c>
      <c r="C53" s="24">
        <f>MIN($A53*$C$4,Rates!$B$4)</f>
        <v/>
      </c>
      <c r="D53" s="24">
        <f>MIN($C$4,Rates!$B$8)*$B53</f>
        <v/>
      </c>
    </row>
    <row r="54">
      <c r="A54" s="21" t="n">
        <v>0.09</v>
      </c>
      <c r="B54" s="23">
        <f>MIN($A54,$C$10)*$C$11+MIN(MAX($A54-$C$10,0),$C$12)*$C$13</f>
        <v/>
      </c>
      <c r="C54" s="24">
        <f>MIN($A54*$C$4,Rates!$B$4)</f>
        <v/>
      </c>
      <c r="D54" s="24">
        <f>MIN($C$4,Rates!$B$8)*$B54</f>
        <v/>
      </c>
    </row>
    <row r="55">
      <c r="A55" s="21" t="n">
        <v>0.1</v>
      </c>
      <c r="B55" s="23">
        <f>MIN($A55,$C$10)*$C$11+MIN(MAX($A55-$C$10,0),$C$12)*$C$13</f>
        <v/>
      </c>
      <c r="C55" s="24">
        <f>MIN($A55*$C$4,Rates!$B$4)</f>
        <v/>
      </c>
      <c r="D55" s="24">
        <f>MIN($C$4,Rates!$B$8)*$B55</f>
        <v/>
      </c>
    </row>
  </sheetData>
  <mergeCells count="2">
    <mergeCell ref="A41:G4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16" customWidth="1" min="4" max="4"/>
    <col width="10" customWidth="1" min="6" max="6"/>
    <col width="10" customWidth="1" min="7" max="7"/>
  </cols>
  <sheetData>
    <row r="1">
      <c r="A1" s="2" t="inlineStr">
        <is>
          <t>2026 LIMITS — all annual, all from the IRS</t>
        </is>
      </c>
      <c r="B1" s="3" t="n"/>
      <c r="C1" s="3" t="n"/>
      <c r="D1" s="3" t="n"/>
    </row>
    <row r="4">
      <c r="A4" s="4" t="inlineStr">
        <is>
          <t>Elective deferral limit</t>
        </is>
      </c>
      <c r="B4" s="25" t="n">
        <v>24500</v>
      </c>
      <c r="C4" s="6" t="inlineStr">
        <is>
          <t>IRC 402(g)(1)</t>
        </is>
      </c>
    </row>
    <row r="5">
      <c r="A5" s="4" t="inlineStr">
        <is>
          <t>Catch-up, age 50 and over</t>
        </is>
      </c>
      <c r="B5" s="25" t="n">
        <v>8000</v>
      </c>
      <c r="C5" s="6" t="inlineStr">
        <is>
          <t>IRC 414(v)</t>
        </is>
      </c>
    </row>
    <row r="6">
      <c r="A6" s="4" t="inlineStr">
        <is>
          <t>Catch-up, ages 60 to 63</t>
        </is>
      </c>
      <c r="B6" s="25" t="n">
        <v>11250</v>
      </c>
      <c r="C6" s="6" t="inlineStr">
        <is>
          <t>SECURE 2.0</t>
        </is>
      </c>
    </row>
    <row r="7">
      <c r="A7" s="4" t="inlineStr">
        <is>
          <t>Total annual additions</t>
        </is>
      </c>
      <c r="B7" s="25" t="n">
        <v>72000</v>
      </c>
      <c r="C7" s="6" t="inlineStr">
        <is>
          <t>IRC 415(c)(1)(A)</t>
        </is>
      </c>
    </row>
    <row r="8">
      <c r="A8" s="4" t="inlineStr">
        <is>
          <t>Compensation a match may be computed on</t>
        </is>
      </c>
      <c r="B8" s="25" t="n">
        <v>360000</v>
      </c>
      <c r="C8" s="6" t="inlineStr">
        <is>
          <t>IRC 401(a)(17)</t>
        </is>
      </c>
    </row>
    <row r="10">
      <c r="A10" s="2" t="inlineStr">
        <is>
          <t>VESTING — the longest schedules a plan may use</t>
        </is>
      </c>
      <c r="B10" s="3" t="n"/>
      <c r="C10" s="3" t="n"/>
      <c r="D10" s="3" t="n"/>
      <c r="E10" s="3" t="n"/>
      <c r="F10" s="3" t="n"/>
      <c r="G10" s="3" t="n"/>
    </row>
    <row r="11">
      <c r="A11" s="4" t="inlineStr">
        <is>
          <t>Cliff: full vesting after this many years</t>
        </is>
      </c>
      <c r="F11" s="20" t="inlineStr">
        <is>
          <t>Years</t>
        </is>
      </c>
      <c r="G11" s="20" t="inlineStr">
        <is>
          <t>Vested</t>
        </is>
      </c>
    </row>
    <row r="12">
      <c r="A12" s="4" t="inlineStr">
        <is>
          <t>years of service</t>
        </is>
      </c>
      <c r="B12" s="26" t="n">
        <v>3</v>
      </c>
      <c r="F12" s="27" t="n">
        <v>0</v>
      </c>
      <c r="G12" s="21" t="n">
        <v>0</v>
      </c>
    </row>
    <row r="13">
      <c r="F13" s="27" t="n">
        <v>1</v>
      </c>
      <c r="G13" s="21" t="n">
        <v>0</v>
      </c>
    </row>
    <row r="14">
      <c r="F14" s="27" t="n">
        <v>2</v>
      </c>
      <c r="G14" s="21" t="n">
        <v>0.2</v>
      </c>
    </row>
    <row r="15">
      <c r="F15" s="27" t="n">
        <v>3</v>
      </c>
      <c r="G15" s="21" t="n">
        <v>0.4</v>
      </c>
    </row>
    <row r="16">
      <c r="F16" s="27" t="n">
        <v>4</v>
      </c>
      <c r="G16" s="21" t="n">
        <v>0.6</v>
      </c>
    </row>
    <row r="17">
      <c r="F17" s="27" t="n">
        <v>5</v>
      </c>
      <c r="G17" s="21" t="n">
        <v>0.8</v>
      </c>
    </row>
    <row r="18">
      <c r="F18" s="27" t="n">
        <v>6</v>
      </c>
      <c r="G18" s="21" t="n">
        <v>1</v>
      </c>
    </row>
    <row r="19">
      <c r="F19" s="6" t="inlineStr">
        <is>
          <t>IRC 411(a)(2)(B) — a plan may vest faster</t>
        </is>
      </c>
    </row>
    <row r="21">
      <c r="A21" s="2" t="inlineStr">
        <is>
          <t>THE FORMULA USED BY DEFAULT</t>
        </is>
      </c>
      <c r="B21" s="3" t="n"/>
      <c r="C21" s="3" t="n"/>
      <c r="D21" s="3" t="n"/>
    </row>
    <row r="22" ht="48" customHeight="1">
      <c r="A22" s="22" t="inlineStr">
        <is>
          <t>"Under a safe harbor plan, you can match each eligible employee's contribution, dollar-for-dollar, up to 3 percent of the employee's compensation, and 50 cents on the dollar for the employee's contribution that exceeds 3 percent, but not 5 percent, of the employee's compensation." — IRS, Operating a 401(k) plan</t>
        </is>
      </c>
    </row>
    <row r="24">
      <c r="A24" s="6" t="inlineStr">
        <is>
          <t>These percentages are in the tax code. Unlike the dollar limits above, they do not change on January 1st.</t>
        </is>
      </c>
    </row>
  </sheetData>
  <mergeCells count="1">
    <mergeCell ref="A22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0" customWidth="1" min="2" max="2"/>
    <col width="38" customWidth="1" min="3" max="3"/>
    <col width="60" customWidth="1" min="4" max="4"/>
    <col width="12" customWidth="1" min="5" max="5"/>
  </cols>
  <sheetData>
    <row r="1">
      <c r="A1" s="2" t="inlineStr">
        <is>
          <t>EVERY FIGURE IN THIS FILE, AND WHERE IT COMES FROM</t>
        </is>
      </c>
      <c r="B1" s="3" t="n"/>
      <c r="C1" s="3" t="n"/>
      <c r="D1" s="3" t="n"/>
      <c r="E1" s="3" t="n"/>
    </row>
    <row r="2">
      <c r="A2" s="20" t="inlineStr">
        <is>
          <t>What</t>
        </is>
      </c>
      <c r="B2" s="20" t="inlineStr">
        <is>
          <t>Who</t>
        </is>
      </c>
      <c r="C2" s="20" t="inlineStr">
        <is>
          <t>Reference</t>
        </is>
      </c>
      <c r="D2" s="20" t="inlineStr">
        <is>
          <t>URL</t>
        </is>
      </c>
      <c r="E2" s="20" t="inlineStr">
        <is>
          <t>Checked</t>
        </is>
      </c>
    </row>
    <row r="3" ht="34" customHeight="1">
      <c r="A3" s="28" t="inlineStr">
        <is>
          <t>Basic safe harbor match: dollar-for-dollar up to 3% of compensation, then 50 cents on the dollar above 3% but not above 5%</t>
        </is>
      </c>
      <c r="B3" s="29" t="inlineStr">
        <is>
          <t>IRS</t>
        </is>
      </c>
      <c r="C3" s="29" t="inlineStr">
        <is>
          <t>Operating a 401(k) plan</t>
        </is>
      </c>
      <c r="D3" s="29" t="inlineStr">
        <is>
          <t>https://www.irs.gov/retirement-plans/operating-a-401k-plan</t>
        </is>
      </c>
      <c r="E3" s="29" t="inlineStr">
        <is>
          <t>2026-10-06</t>
        </is>
      </c>
    </row>
    <row r="4" ht="34" customHeight="1">
      <c r="A4" s="28" t="inlineStr">
        <is>
          <t>Safe harbor required employer contributions are always 100% vested</t>
        </is>
      </c>
      <c r="B4" s="29" t="inlineStr">
        <is>
          <t>IRS</t>
        </is>
      </c>
      <c r="C4" s="29" t="inlineStr">
        <is>
          <t>Operating a 401(k) plan</t>
        </is>
      </c>
      <c r="D4" s="29" t="inlineStr">
        <is>
          <t>https://www.irs.gov/retirement-plans/operating-a-401k-plan</t>
        </is>
      </c>
      <c r="E4" s="29" t="inlineStr">
        <is>
          <t>2026-10-06</t>
        </is>
      </c>
    </row>
    <row r="5" ht="34" customHeight="1">
      <c r="A5" s="28" t="inlineStr">
        <is>
          <t>A match calculated per payroll period may not match the terms of a plan written annually</t>
        </is>
      </c>
      <c r="B5" s="29" t="inlineStr">
        <is>
          <t>IRS</t>
        </is>
      </c>
      <c r="C5" s="29" t="inlineStr">
        <is>
          <t>401(k) fix-it guide, employer matching contributions</t>
        </is>
      </c>
      <c r="D5" s="29" t="inlineStr">
        <is>
          <t>https://www.irs.gov/retirement-plans/401k-plan-fix-it-guide-employer-matching-contributions-werent-made-to-all-appropriate-employees</t>
        </is>
      </c>
      <c r="E5" s="29" t="inlineStr">
        <is>
          <t>2026-10-06</t>
        </is>
      </c>
    </row>
    <row r="6" ht="34" customHeight="1">
      <c r="A6" s="28" t="inlineStr">
        <is>
          <t>Longest vesting schedules a plan may use: 3-year cliff, or 6-year graded 20/40/60/80/100</t>
        </is>
      </c>
      <c r="B6" s="29" t="inlineStr">
        <is>
          <t>IRS</t>
        </is>
      </c>
      <c r="C6" s="29" t="inlineStr">
        <is>
          <t>Issue Snapshot, vesting schedules (IRC 411(a)(2)(B))</t>
        </is>
      </c>
      <c r="D6" s="29" t="inlineStr">
        <is>
          <t>https://www.irs.gov/retirement-plans/issue-snapshot-vesting-schedules-for-matching-contributions</t>
        </is>
      </c>
      <c r="E6" s="29" t="inlineStr">
        <is>
          <t>2026-10-06</t>
        </is>
      </c>
    </row>
    <row r="7" ht="34" customHeight="1">
      <c r="A7" s="28" t="inlineStr">
        <is>
          <t>2026 elective deferral limit $24,500, catch-up $8,000, ages 60-63 $11,250</t>
        </is>
      </c>
      <c r="B7" s="29" t="inlineStr">
        <is>
          <t>IRS</t>
        </is>
      </c>
      <c r="C7" s="29" t="inlineStr">
        <is>
          <t>IR-2025-111 / Notice 2025-67</t>
        </is>
      </c>
      <c r="D7" s="29" t="inlineStr">
        <is>
          <t>https://www.irs.gov/newsroom/401k-limit-increases-to-24500-for-2026-ira-limit-increases-to-7500</t>
        </is>
      </c>
      <c r="E7" s="29" t="inlineStr">
        <is>
          <t>2026-10-06</t>
        </is>
      </c>
    </row>
    <row r="8" ht="34" customHeight="1">
      <c r="A8" s="28" t="inlineStr">
        <is>
          <t>2026 total annual additions limit $72,000 (IRC 415(c)) and compensation limit $360,000 (IRC 401(a)(17))</t>
        </is>
      </c>
      <c r="B8" s="29" t="inlineStr">
        <is>
          <t>IRS</t>
        </is>
      </c>
      <c r="C8" s="29" t="inlineStr">
        <is>
          <t>COLA increases table</t>
        </is>
      </c>
      <c r="D8" s="29" t="inlineStr">
        <is>
          <t>https://www.irs.gov/retirement-plans/cola-increases-for-dollar-limitations-on-benefits-and-contributions</t>
        </is>
      </c>
      <c r="E8" s="29" t="inlineStr">
        <is>
          <t>2026-10-06</t>
        </is>
      </c>
    </row>
    <row r="10">
      <c r="A10" s="9" t="inlineStr">
        <is>
          <t>The one thing this file cannot know</t>
        </is>
      </c>
    </row>
    <row r="11" ht="36" customHeight="1">
      <c r="A11" s="22" t="inlineStr">
        <is>
          <t>Your plan's own formula, its computation period, and its vesting schedule. Those three live in your summary plan description. Everything here is a default taken from what the IRS describes, not a statement about your employer.</t>
        </is>
      </c>
    </row>
  </sheetData>
  <mergeCells count="1"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2026-10-06T08:23:41Z</dcterms:created>
  <dcterms:modified xmlns:dcterms="http://purl.org/dc/terms/" xmlns:xsi="http://www.w3.org/2001/XMLSchema-instance" xsi:type="dcterms:W3CDTF">2026-10-06T08:23:41Z</dcterms:modified>
</cp:coreProperties>
</file>