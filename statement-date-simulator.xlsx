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Factor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2F0EB"/>
      <sz val="11"/>
    </font>
    <font>
      <color rgb="00000000"/>
      <sz val="11"/>
    </font>
    <font>
      <b val="1"/>
      <color rgb="00000000"/>
      <sz val="11"/>
    </font>
    <font>
      <i val="1"/>
      <color rgb="007A7A7A"/>
      <sz val="10"/>
    </font>
    <font>
      <b val="1"/>
      <color rgb="000F1B2D"/>
      <sz val="11"/>
    </font>
    <font>
      <i val="1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C2503F"/>
      </patternFill>
    </fill>
    <fill>
      <patternFill patternType="solid">
        <fgColor rgb="000F1B2D"/>
      </patternFill>
    </fill>
    <fill>
      <patternFill patternType="solid">
        <fgColor rgb="00E8A33D"/>
      </patternFill>
    </fill>
    <fill>
      <patternFill patternType="solid">
        <fgColor rgb="00F7E4E0"/>
      </patternFill>
    </fill>
    <fill>
      <patternFill patternType="solid">
        <fgColor rgb="00E3F0E8"/>
      </patternFill>
    </fill>
    <fill>
      <patternFill patternType="solid">
        <fgColor rgb="00EDEFF2"/>
      </patternFill>
    </fill>
  </fills>
  <borders count="2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0" pivotButton="0" quotePrefix="0" xfId="0"/>
    <xf numFmtId="164" fontId="4" fillId="4" borderId="1" applyAlignment="1" pivotButton="0" quotePrefix="0" xfId="0">
      <alignment horizontal="right"/>
    </xf>
    <xf numFmtId="0" fontId="5" fillId="0" borderId="0" pivotButton="0" quotePrefix="0" xfId="0"/>
    <xf numFmtId="1" fontId="4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165" fontId="3" fillId="5" borderId="1" applyAlignment="1" pivotButton="0" quotePrefix="0" xfId="0">
      <alignment horizontal="right"/>
    </xf>
    <xf numFmtId="165" fontId="3" fillId="6" borderId="1" applyAlignment="1" pivotButton="0" quotePrefix="0" xfId="0">
      <alignment horizontal="right"/>
    </xf>
    <xf numFmtId="0" fontId="4" fillId="0" borderId="0" pivotButton="0" quotePrefix="0" xfId="0"/>
    <xf numFmtId="165" fontId="4" fillId="5" borderId="1" applyAlignment="1" pivotButton="0" quotePrefix="0" xfId="0">
      <alignment horizontal="right"/>
    </xf>
    <xf numFmtId="165" fontId="4" fillId="6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6" fontId="4" fillId="6" borderId="1" applyAlignment="1" pivotButton="0" quotePrefix="0" xfId="0">
      <alignment horizontal="right"/>
    </xf>
    <xf numFmtId="0" fontId="3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right"/>
    </xf>
    <xf numFmtId="166" fontId="6" fillId="7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7" fillId="0" borderId="0" applyAlignment="1" pivotButton="0" quotePrefix="0" xfId="0">
      <alignment vertical="center" wrapText="1"/>
    </xf>
    <xf numFmtId="0" fontId="3" fillId="0" borderId="1" pivotButton="0" quotePrefix="0" xfId="0"/>
    <xf numFmtId="9" fontId="3" fillId="0" borderId="1" applyAlignment="1" pivotButton="0" quotePrefix="0" xfId="0">
      <alignment horizontal="right"/>
    </xf>
    <xf numFmtId="0" fontId="4" fillId="4" borderId="1" pivotButton="0" quotePrefix="0" xfId="0"/>
    <xf numFmtId="9" fontId="4" fillId="4" borderId="1" applyAlignment="1" pivotButton="0" quotePrefix="0" xfId="0">
      <alignment horizontal="right"/>
    </xf>
    <xf numFmtId="9" fontId="4" fillId="0" borderId="0" applyAlignment="1" pivotButton="0" quotePrefix="0" xfId="0">
      <alignment horizontal="right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8" customWidth="1" min="3" max="3"/>
    <col width="22" customWidth="1" min="4" max="4"/>
    <col width="6" customWidth="1" min="5" max="5"/>
    <col width="6" customWidth="1" min="6" max="6"/>
  </cols>
  <sheetData>
    <row r="1" ht="44" customHeight="1">
      <c r="A1" s="1" t="inlineStr">
        <is>
          <t>Educational tool, not financial or credit advice. It models one number — the balance your card reports — not your credit score. No model publishes a point-by-point scale, and this file does not invent one.</t>
        </is>
      </c>
    </row>
    <row r="3">
      <c r="A3" s="2" t="inlineStr">
        <is>
          <t>YOUR NUMBERS</t>
        </is>
      </c>
      <c r="B3" s="3" t="n"/>
      <c r="C3" s="3" t="n"/>
      <c r="D3" s="3" t="n"/>
      <c r="E3" s="3" t="n"/>
      <c r="F3" s="3" t="n"/>
    </row>
    <row r="4">
      <c r="A4" s="4" t="inlineStr">
        <is>
          <t>Total credit limit, all cards</t>
        </is>
      </c>
      <c r="C4" s="5" t="n">
        <v>3000</v>
      </c>
      <c r="D4" s="6" t="inlineStr">
        <is>
          <t>← fill the five amber cells</t>
        </is>
      </c>
    </row>
    <row r="5">
      <c r="A5" s="4" t="inlineStr">
        <is>
          <t>What you charge in a month</t>
        </is>
      </c>
      <c r="C5" s="5" t="n">
        <v>2400</v>
      </c>
    </row>
    <row r="6">
      <c r="A6" s="4" t="inlineStr">
        <is>
          <t>Left on the statement on purpose</t>
        </is>
      </c>
      <c r="C6" s="5" t="n">
        <v>100</v>
      </c>
      <c r="D6" s="6" t="inlineStr">
        <is>
          <t>scenario B only. Set to 0 to report a zero balance — see row 32</t>
        </is>
      </c>
    </row>
    <row r="7">
      <c r="A7" s="4" t="inlineStr">
        <is>
          <t>Statement closing day</t>
        </is>
      </c>
      <c r="C7" s="7" t="n">
        <v>3</v>
      </c>
      <c r="D7" s="6" t="inlineStr">
        <is>
          <t>on your statement, required by Regulation Z 1026.7(b)(10)</t>
        </is>
      </c>
    </row>
    <row r="8">
      <c r="A8" s="4" t="inlineStr">
        <is>
          <t>Payment due day</t>
        </is>
      </c>
      <c r="C8" s="7" t="n">
        <v>28</v>
      </c>
      <c r="D8" s="6" t="inlineStr">
        <is>
          <t>this is NOT the date that matters for what gets reported</t>
        </is>
      </c>
    </row>
    <row r="10">
      <c r="A10" s="2" t="inlineStr">
        <is>
          <t>SAME SPENDING, SAME MONEY PAID, TWO PAYMENT DATES</t>
        </is>
      </c>
      <c r="B10" s="3" t="n"/>
      <c r="C10" s="3" t="n"/>
      <c r="D10" s="3" t="n"/>
      <c r="E10" s="3" t="n"/>
      <c r="F10" s="3" t="n"/>
    </row>
    <row r="11">
      <c r="B11" s="8" t="inlineStr">
        <is>
          <t>A · pay after the close</t>
        </is>
      </c>
      <c r="D11" s="9" t="inlineStr">
        <is>
          <t>B · pay before the close</t>
        </is>
      </c>
    </row>
    <row r="12">
      <c r="A12" s="4" t="inlineStr">
        <is>
          <t>Charged this month</t>
        </is>
      </c>
      <c r="B12" s="10">
        <f>$C$5</f>
        <v/>
      </c>
      <c r="D12" s="11">
        <f>$C$5</f>
        <v/>
      </c>
    </row>
    <row r="13">
      <c r="A13" s="4" t="inlineStr">
        <is>
          <t>Paid BEFORE the closing day</t>
        </is>
      </c>
      <c r="B13" s="10" t="n">
        <v>0</v>
      </c>
      <c r="D13" s="11">
        <f>MAX(0,$C$5-$C$6)</f>
        <v/>
      </c>
    </row>
    <row r="14">
      <c r="A14" s="12">
        <f> Balance on the closing day</f>
        <v/>
      </c>
      <c r="B14" s="13">
        <f>MAX(0,$B$12-$B$13)</f>
        <v/>
      </c>
      <c r="D14" s="14">
        <f>MAX(0,$D$12-$D$13)</f>
        <v/>
      </c>
      <c r="E14" s="6" t="inlineStr">
        <is>
          <t>← this is the number your card reports</t>
        </is>
      </c>
    </row>
    <row r="15">
      <c r="A15" s="12" t="inlineStr">
        <is>
          <t>Reported utilization</t>
        </is>
      </c>
      <c r="B15" s="15">
        <f>IF($C$4=0,0,$B$14/$C$4)</f>
        <v/>
      </c>
      <c r="D15" s="16">
        <f>IF($C$4=0,0,$D$14/$C$4)</f>
        <v/>
      </c>
    </row>
    <row r="16">
      <c r="A16" s="4" t="inlineStr">
        <is>
          <t>Against the 30% guideline</t>
        </is>
      </c>
      <c r="B16" s="17">
        <f>IF($B$15&gt;Factors!$B$12,"over","under")</f>
        <v/>
      </c>
      <c r="D16" s="18">
        <f>IF($D$15&gt;Factors!$B$12,"over","under")</f>
        <v/>
      </c>
    </row>
    <row r="18">
      <c r="A18" s="12" t="inlineStr">
        <is>
          <t>Paid in full by the due date?</t>
        </is>
      </c>
      <c r="B18" s="17" t="inlineStr">
        <is>
          <t>yes</t>
        </is>
      </c>
      <c r="D18" s="18" t="inlineStr">
        <is>
          <t>yes</t>
        </is>
      </c>
    </row>
    <row r="19">
      <c r="A19" s="12" t="inlineStr">
        <is>
          <t>Total paid over the month</t>
        </is>
      </c>
      <c r="B19" s="13">
        <f>$B$12</f>
        <v/>
      </c>
      <c r="D19" s="14">
        <f>$D$12</f>
        <v/>
      </c>
      <c r="E19" s="6" t="inlineStr">
        <is>
          <t>← identical. The only difference between A and B is the date.</t>
        </is>
      </c>
    </row>
    <row r="20">
      <c r="A20" s="12" t="inlineStr">
        <is>
          <t>Interest paid</t>
        </is>
      </c>
      <c r="B20" s="13" t="n">
        <v>0</v>
      </c>
      <c r="D20" s="14" t="n">
        <v>0</v>
      </c>
    </row>
    <row r="22">
      <c r="A22" s="12" t="inlineStr">
        <is>
          <t>Difference in reported utilization</t>
        </is>
      </c>
      <c r="C22" s="19">
        <f>$B$15-$D$15</f>
        <v/>
      </c>
    </row>
    <row r="24">
      <c r="A24" s="2" t="inlineStr">
        <is>
          <t>WHAT GETS REPORTED, FOR EVERY AMOUNT YOU LEAVE ON THE STATEMENT</t>
        </is>
      </c>
      <c r="B24" s="3" t="n"/>
      <c r="C24" s="3" t="n"/>
      <c r="D24" s="3" t="n"/>
      <c r="E24" s="3" t="n"/>
      <c r="F24" s="3" t="n"/>
    </row>
    <row r="25">
      <c r="A25" s="20" t="inlineStr">
        <is>
          <t>Left on the statement</t>
        </is>
      </c>
      <c r="B25" s="20" t="inlineStr">
        <is>
          <t>Reported balance</t>
        </is>
      </c>
      <c r="C25" s="20" t="inlineStr">
        <is>
          <t>Utilization</t>
        </is>
      </c>
      <c r="D25" s="20" t="inlineStr">
        <is>
          <t>vs the 30% guideline</t>
        </is>
      </c>
    </row>
    <row r="26">
      <c r="A26" s="21" t="n">
        <v>0</v>
      </c>
      <c r="B26" s="21">
        <f>MIN($A26,$C$5)</f>
        <v/>
      </c>
      <c r="C26" s="22">
        <f>IF($C$4=0,0,$B26/$C$4)</f>
        <v/>
      </c>
      <c r="D26" s="23">
        <f>IF($C26&gt;Factors!$B$12,"over","under")</f>
        <v/>
      </c>
    </row>
    <row r="27">
      <c r="A27" s="21" t="n">
        <v>100</v>
      </c>
      <c r="B27" s="21">
        <f>MIN($A27,$C$5)</f>
        <v/>
      </c>
      <c r="C27" s="22">
        <f>IF($C$4=0,0,$B27/$C$4)</f>
        <v/>
      </c>
      <c r="D27" s="23">
        <f>IF($C27&gt;Factors!$B$12,"over","under")</f>
        <v/>
      </c>
    </row>
    <row r="28">
      <c r="A28" s="21" t="n">
        <v>300</v>
      </c>
      <c r="B28" s="21">
        <f>MIN($A28,$C$5)</f>
        <v/>
      </c>
      <c r="C28" s="22">
        <f>IF($C$4=0,0,$B28/$C$4)</f>
        <v/>
      </c>
      <c r="D28" s="23">
        <f>IF($C28&gt;Factors!$B$12,"over","under")</f>
        <v/>
      </c>
    </row>
    <row r="29">
      <c r="A29" s="21" t="n">
        <v>600</v>
      </c>
      <c r="B29" s="21">
        <f>MIN($A29,$C$5)</f>
        <v/>
      </c>
      <c r="C29" s="22">
        <f>IF($C$4=0,0,$B29/$C$4)</f>
        <v/>
      </c>
      <c r="D29" s="23">
        <f>IF($C29&gt;Factors!$B$12,"over","under")</f>
        <v/>
      </c>
    </row>
    <row r="30">
      <c r="A30" s="21" t="n">
        <v>900</v>
      </c>
      <c r="B30" s="21">
        <f>MIN($A30,$C$5)</f>
        <v/>
      </c>
      <c r="C30" s="22">
        <f>IF($C$4=0,0,$B30/$C$4)</f>
        <v/>
      </c>
      <c r="D30" s="23">
        <f>IF($C30&gt;Factors!$B$12,"over","under")</f>
        <v/>
      </c>
    </row>
    <row r="31">
      <c r="A31" s="21" t="n">
        <v>1200</v>
      </c>
      <c r="B31" s="21">
        <f>MIN($A31,$C$5)</f>
        <v/>
      </c>
      <c r="C31" s="22">
        <f>IF($C$4=0,0,$B31/$C$4)</f>
        <v/>
      </c>
      <c r="D31" s="23">
        <f>IF($C31&gt;Factors!$B$12,"over","under")</f>
        <v/>
      </c>
    </row>
    <row r="32">
      <c r="A32" s="21" t="n">
        <v>1800</v>
      </c>
      <c r="B32" s="21">
        <f>MIN($A32,$C$5)</f>
        <v/>
      </c>
      <c r="C32" s="22">
        <f>IF($C$4=0,0,$B32/$C$4)</f>
        <v/>
      </c>
      <c r="D32" s="23">
        <f>IF($C32&gt;Factors!$B$12,"over","under")</f>
        <v/>
      </c>
    </row>
    <row r="33">
      <c r="A33" s="21" t="n">
        <v>2400</v>
      </c>
      <c r="B33" s="21">
        <f>MIN($A33,$C$5)</f>
        <v/>
      </c>
      <c r="C33" s="22">
        <f>IF($C$4=0,0,$B33/$C$4)</f>
        <v/>
      </c>
      <c r="D33" s="23">
        <f>IF($C33&gt;Factors!$B$12,"over","under")</f>
        <v/>
      </c>
    </row>
    <row r="34">
      <c r="A34" s="12" t="inlineStr">
        <is>
          <t>The honest caveat, in FICO's own words</t>
        </is>
      </c>
    </row>
    <row r="35" ht="30" customHeight="1">
      <c r="A35" s="24" t="inlineStr">
        <is>
          <t>"In some cases, a low credit utilization ratio will have a more positive impact on your FICO Scores than not using any of your available credit at all." — FICO, Amounts owed</t>
        </is>
      </c>
    </row>
    <row r="36" ht="30" customHeight="1">
      <c r="A36" s="24" t="inlineStr">
        <is>
          <t>And the one that matters more: "You don't need to carry a balance on credit cards to get a good score. In fact, you don't need outstanding debt at all." — CFPB. Paying before the closing date is still paying in full. It costs no interest.</t>
        </is>
      </c>
    </row>
  </sheetData>
  <mergeCells count="3">
    <mergeCell ref="A36:F36"/>
    <mergeCell ref="A1:F1"/>
    <mergeCell ref="A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56" customWidth="1" min="3" max="3"/>
  </cols>
  <sheetData>
    <row r="1">
      <c r="A1" s="2" t="inlineStr">
        <is>
          <t>WHAT A FICO SCORE IS MADE OF</t>
        </is>
      </c>
      <c r="B1" s="3" t="n"/>
      <c r="C1" s="3" t="n"/>
      <c r="D1" s="3" t="n"/>
      <c r="E1" s="3" t="n"/>
      <c r="F1" s="3" t="n"/>
    </row>
    <row r="2">
      <c r="A2" s="20" t="inlineStr">
        <is>
          <t>Category</t>
        </is>
      </c>
      <c r="B2" s="20" t="inlineStr">
        <is>
          <t>Weight</t>
        </is>
      </c>
      <c r="C2" s="20" t="inlineStr">
        <is>
          <t>What it covers</t>
        </is>
      </c>
    </row>
    <row r="3">
      <c r="A3" s="25" t="inlineStr">
        <is>
          <t>Payment history</t>
        </is>
      </c>
      <c r="B3" s="26" t="n">
        <v>0.35</v>
      </c>
      <c r="C3" s="25" t="inlineStr">
        <is>
          <t>Do you pay on time. Not what this file is about.</t>
        </is>
      </c>
    </row>
    <row r="4">
      <c r="A4" s="27" t="inlineStr">
        <is>
          <t>Amounts owed</t>
        </is>
      </c>
      <c r="B4" s="28" t="n">
        <v>0.3</v>
      </c>
      <c r="C4" s="25" t="inlineStr">
        <is>
          <t>Where credit utilization lives. This file models this line.</t>
        </is>
      </c>
    </row>
    <row r="5">
      <c r="A5" s="25" t="inlineStr">
        <is>
          <t>Length of credit history</t>
        </is>
      </c>
      <c r="B5" s="26" t="n">
        <v>0.15</v>
      </c>
      <c r="C5" s="25" t="inlineStr">
        <is>
          <t>How long your accounts have been open.</t>
        </is>
      </c>
    </row>
    <row r="6">
      <c r="A6" s="25" t="inlineStr">
        <is>
          <t>Credit mix</t>
        </is>
      </c>
      <c r="B6" s="26" t="n">
        <v>0.1</v>
      </c>
      <c r="C6" s="25" t="inlineStr">
        <is>
          <t>Cards, loans, mortgages.</t>
        </is>
      </c>
    </row>
    <row r="7">
      <c r="A7" s="25" t="inlineStr">
        <is>
          <t>New credit</t>
        </is>
      </c>
      <c r="B7" s="26" t="n">
        <v>0.1</v>
      </c>
      <c r="C7" s="25" t="inlineStr">
        <is>
          <t>Recently opened accounts and hard inquiries.</t>
        </is>
      </c>
    </row>
    <row r="8">
      <c r="A8" s="12" t="inlineStr">
        <is>
          <t>Total</t>
        </is>
      </c>
      <c r="B8" s="29">
        <f>SUM($B$3:$B$7)</f>
        <v/>
      </c>
      <c r="C8" s="6" t="inlineStr">
        <is>
          <t>source: FICO, What's in my FICO Scores</t>
        </is>
      </c>
    </row>
    <row r="10">
      <c r="A10" s="2" t="inlineStr">
        <is>
          <t>THE GUIDELINE USED BY THIS FILE</t>
        </is>
      </c>
      <c r="B10" s="3" t="n"/>
      <c r="C10" s="3" t="n"/>
      <c r="D10" s="3" t="n"/>
      <c r="E10" s="3" t="n"/>
      <c r="F10" s="3" t="n"/>
    </row>
    <row r="11">
      <c r="A11" s="12" t="inlineStr">
        <is>
          <t>Utilization guideline</t>
        </is>
      </c>
    </row>
    <row r="12">
      <c r="A12" s="4" t="inlineStr">
        <is>
          <t>No more than</t>
        </is>
      </c>
      <c r="B12" s="28" t="n">
        <v>0.3</v>
      </c>
    </row>
    <row r="14" ht="40" customHeight="1">
      <c r="A14" s="24" t="inlineStr">
        <is>
          <t>CFPB: "Experts advise keeping your use of credit at no more than 30 percent of your total credit limit." This is guidance, not a threshold inside any scoring model. No source describes a cliff at 30%, and this file does not treat it as one.</t>
        </is>
      </c>
    </row>
    <row r="16">
      <c r="A16" s="2" t="inlineStr">
        <is>
          <t>WHAT THIS FILE DOES NOT MODEL</t>
        </is>
      </c>
      <c r="B16" s="3" t="n"/>
      <c r="C16" s="3" t="n"/>
      <c r="D16" s="3" t="n"/>
      <c r="E16" s="3" t="n"/>
      <c r="F16" s="3" t="n"/>
    </row>
    <row r="17">
      <c r="A17" s="4" t="inlineStr">
        <is>
          <t>• Your credit score. This file models a reported balance, nothing else.</t>
        </is>
      </c>
    </row>
    <row r="18">
      <c r="A18" s="4" t="inlineStr">
        <is>
          <t>• Points gained or lost. No scoring model publishes a point-by-point scale.</t>
        </is>
      </c>
    </row>
    <row r="19">
      <c r="A19" s="4" t="inlineStr">
        <is>
          <t>• Per-card utilization. Some models look at each card as well as the total.</t>
        </is>
      </c>
    </row>
    <row r="20">
      <c r="A20" s="4" t="inlineStr">
        <is>
          <t>• Your issuer's exact reporting day. FICO says 'typically' the latest statement balance; issuers vary, and some report off-cycle.</t>
        </is>
      </c>
    </row>
    <row r="21">
      <c r="A21" s="4" t="inlineStr">
        <is>
          <t>• Any score other than FICO. VantageScore weighs things differently.</t>
        </is>
      </c>
    </row>
  </sheetData>
  <mergeCells count="1"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34" customWidth="1" min="3" max="3"/>
    <col width="62" customWidth="1" min="4" max="4"/>
    <col width="12" customWidth="1" min="5" max="5"/>
  </cols>
  <sheetData>
    <row r="1">
      <c r="A1" s="2" t="inlineStr">
        <is>
          <t>EVERY FIGURE IN THIS FILE, AND WHERE IT COMES FROM</t>
        </is>
      </c>
      <c r="B1" s="3" t="n"/>
      <c r="C1" s="3" t="n"/>
      <c r="D1" s="3" t="n"/>
      <c r="E1" s="3" t="n"/>
    </row>
    <row r="2">
      <c r="A2" s="20" t="inlineStr">
        <is>
          <t>What</t>
        </is>
      </c>
      <c r="B2" s="20" t="inlineStr">
        <is>
          <t>Who</t>
        </is>
      </c>
      <c r="C2" s="20" t="inlineStr">
        <is>
          <t>Reference</t>
        </is>
      </c>
      <c r="D2" s="20" t="inlineStr">
        <is>
          <t>URL</t>
        </is>
      </c>
      <c r="E2" s="20" t="inlineStr">
        <is>
          <t>Checked</t>
        </is>
      </c>
    </row>
    <row r="3" ht="30" customHeight="1">
      <c r="A3" s="30" t="inlineStr">
        <is>
          <t>The balance on your credit report is the one your lender reported, typically your latest statement balance</t>
        </is>
      </c>
      <c r="B3" s="31" t="inlineStr">
        <is>
          <t>FICO</t>
        </is>
      </c>
      <c r="C3" s="31" t="inlineStr">
        <is>
          <t>Amounts owed</t>
        </is>
      </c>
      <c r="D3" s="31" t="inlineStr">
        <is>
          <t>https://www.myfico.com/credit-education/credit-scores/amount-of-debt</t>
        </is>
      </c>
      <c r="E3" s="31" t="inlineStr">
        <is>
          <t>2026-09-24</t>
        </is>
      </c>
    </row>
    <row r="4" ht="30" customHeight="1">
      <c r="A4" s="30" t="inlineStr">
        <is>
          <t>Amounts owed determines 30% of a FICO Score</t>
        </is>
      </c>
      <c r="B4" s="31" t="inlineStr">
        <is>
          <t>FICO</t>
        </is>
      </c>
      <c r="C4" s="31" t="inlineStr">
        <is>
          <t>Amounts owed</t>
        </is>
      </c>
      <c r="D4" s="31" t="inlineStr">
        <is>
          <t>https://www.myfico.com/credit-education/credit-scores/amount-of-debt</t>
        </is>
      </c>
      <c r="E4" s="31" t="inlineStr">
        <is>
          <t>2026-09-24</t>
        </is>
      </c>
    </row>
    <row r="5" ht="30" customHeight="1">
      <c r="A5" s="30" t="inlineStr">
        <is>
          <t>The five FICO categories and their weights</t>
        </is>
      </c>
      <c r="B5" s="31" t="inlineStr">
        <is>
          <t>FICO</t>
        </is>
      </c>
      <c r="C5" s="31" t="inlineStr">
        <is>
          <t>What's in my FICO Scores</t>
        </is>
      </c>
      <c r="D5" s="31" t="inlineStr">
        <is>
          <t>https://www.myfico.com/credit-education/whats-in-your-credit-score</t>
        </is>
      </c>
      <c r="E5" s="31" t="inlineStr">
        <is>
          <t>2026-09-24</t>
        </is>
      </c>
    </row>
    <row r="6" ht="30" customHeight="1">
      <c r="A6" s="30" t="inlineStr">
        <is>
          <t>A statement must show the closing date of the billing cycle and the balance outstanding on that date</t>
        </is>
      </c>
      <c r="B6" s="31" t="inlineStr">
        <is>
          <t>CFPB</t>
        </is>
      </c>
      <c r="C6" s="31" t="inlineStr">
        <is>
          <t>Regulation Z, 12 CFR 1026.7(b)(10)</t>
        </is>
      </c>
      <c r="D6" s="31" t="inlineStr">
        <is>
          <t>https://www.consumerfinance.gov/rules-policy/regulations/1026/7/</t>
        </is>
      </c>
      <c r="E6" s="31" t="inlineStr">
        <is>
          <t>2026-09-24</t>
        </is>
      </c>
    </row>
    <row r="7" ht="30" customHeight="1">
      <c r="A7" s="30" t="inlineStr">
        <is>
          <t>Utilization = balances divided by limits; experts advise no more than 30%</t>
        </is>
      </c>
      <c r="B7" s="31" t="inlineStr">
        <is>
          <t>CFPB</t>
        </is>
      </c>
      <c r="C7" s="31" t="inlineStr">
        <is>
          <t>How do I get and keep a good credit score?</t>
        </is>
      </c>
      <c r="D7" s="31" t="inlineStr">
        <is>
          <t>https://www.consumerfinance.gov/ask-cfpb/how-do-i-get-and-keep-a-good-credit-score-en-318/</t>
        </is>
      </c>
      <c r="E7" s="31" t="inlineStr">
        <is>
          <t>2026-09-24</t>
        </is>
      </c>
    </row>
    <row r="8" ht="30" customHeight="1">
      <c r="A8" s="30" t="inlineStr">
        <is>
          <t>You do not need to carry a balance to get a good score</t>
        </is>
      </c>
      <c r="B8" s="31" t="inlineStr">
        <is>
          <t>CFPB</t>
        </is>
      </c>
      <c r="C8" s="31" t="inlineStr">
        <is>
          <t>Credit score myths (myth 4)</t>
        </is>
      </c>
      <c r="D8" s="31" t="inlineStr">
        <is>
          <t>https://www.consumerfinance.gov/about-us/blog/credit-score-myths-might-be-holding-you-back-improving-your-credit/</t>
        </is>
      </c>
      <c r="E8" s="31" t="inlineStr">
        <is>
          <t>2026-09-24</t>
        </is>
      </c>
    </row>
    <row r="10">
      <c r="A10" s="12" t="inlineStr">
        <is>
          <t>Rule of this channel</t>
        </is>
      </c>
    </row>
    <row r="11" ht="34" customHeight="1">
      <c r="A11" s="24" t="inlineStr">
        <is>
          <t>Every number is read on the page of the organisation that issues the rule, or that produces the scoring model. Never a blog, a news site, another video, or an AI. If a figure is not on this tab, it is not in the video either.</t>
        </is>
      </c>
    </row>
  </sheetData>
  <mergeCells count="1"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2026-09-24T13:51:16Z</dcterms:created>
  <dcterms:modified xmlns:dcterms="http://purl.org/dc/terms/" xmlns:xsi="http://www.w3.org/2001/XMLSchema-instance" xsi:type="dcterms:W3CDTF">2026-09-24T13:51:16Z</dcterms:modified>
</cp:coreProperties>
</file>