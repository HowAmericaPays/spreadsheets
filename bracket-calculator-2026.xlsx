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2F0EB"/>
      <sz val="11"/>
    </font>
    <font>
      <sz val="11"/>
    </font>
    <font>
      <b val="1"/>
      <sz val="12"/>
    </font>
    <font>
      <i val="1"/>
      <color rgb="007A7A7A"/>
      <sz val="10"/>
    </font>
    <font>
      <color rgb="00000000"/>
      <sz val="11"/>
    </font>
    <font>
      <b val="1"/>
      <sz val="11"/>
    </font>
    <font>
      <b val="1"/>
      <color rgb="000F1B2D"/>
      <sz val="12"/>
    </font>
    <font>
      <b val="1"/>
      <color rgb="000F1B2D"/>
      <sz val="10"/>
    </font>
    <font>
      <b val="1"/>
    </font>
    <font>
      <i val="1"/>
      <color rgb="005A5A5A"/>
      <sz val="10"/>
    </font>
    <font>
      <b val="1"/>
      <color rgb="00F2F0EB"/>
      <sz val="13"/>
    </font>
    <font>
      <i val="1"/>
      <color rgb="00C2503F"/>
      <sz val="10"/>
    </font>
    <font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C2503F"/>
      </patternFill>
    </fill>
    <fill>
      <patternFill patternType="solid">
        <fgColor rgb="000F1B2D"/>
      </patternFill>
    </fill>
    <fill>
      <patternFill patternType="solid">
        <fgColor rgb="00E8A33D"/>
      </patternFill>
    </fill>
    <fill>
      <patternFill patternType="solid">
        <fgColor rgb="00EDEFF2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0" pivotButton="0" quotePrefix="0" xfId="0"/>
    <xf numFmtId="164" fontId="4" fillId="4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164" fontId="8" fillId="5" borderId="1" applyAlignment="1" pivotButton="0" quotePrefix="0" xfId="0">
      <alignment horizontal="right"/>
    </xf>
    <xf numFmtId="165" fontId="8" fillId="5" borderId="1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164" fontId="10" fillId="0" borderId="1" pivotButton="0" quotePrefix="0" xfId="0"/>
    <xf numFmtId="0" fontId="10" fillId="0" borderId="0" applyAlignment="1" pivotButton="0" quotePrefix="0" xfId="0">
      <alignment horizontal="right"/>
    </xf>
    <xf numFmtId="164" fontId="8" fillId="5" borderId="1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0" fillId="0" borderId="0" pivotButton="0" quotePrefix="0" xfId="0"/>
    <xf numFmtId="0" fontId="13" fillId="0" borderId="0" pivotButton="0" quotePrefix="0" xfId="0"/>
    <xf numFmtId="0" fontId="9" fillId="5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rs.gov/newsroom/irs-releases-tax-inflation-adjustments-for-tax-year-2026-including-amendments-from-the-one-big-beautiful-bill" TargetMode="External" Id="rId1"/><Relationship Type="http://schemas.openxmlformats.org/officeDocument/2006/relationships/hyperlink" Target="https://www.irs.gov/newsroom/irs-releases-tax-inflation-adjustments-for-tax-year-2026-including-amendments-from-the-one-big-beautiful-bill" TargetMode="External" Id="rId2"/><Relationship Type="http://schemas.openxmlformats.org/officeDocument/2006/relationships/hyperlink" Target="https://www.irs.gov/affordable-care-act/individuals-and-families/questions-and-answers-on-the-premium-tax-credit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0" customWidth="1" min="4" max="4"/>
    <col width="20" customWidth="1" min="5" max="5"/>
    <col width="14" customWidth="1" min="6" max="6"/>
  </cols>
  <sheetData>
    <row r="1" ht="32" customHeight="1">
      <c r="A1" s="1" t="inlineStr">
        <is>
          <t>Educational tool, not tax advice. 2026 tax year, single filer, federal income tax only. Verify against the Sources tab before relying on it.</t>
        </is>
      </c>
    </row>
    <row r="3">
      <c r="A3" s="2" t="inlineStr">
        <is>
          <t>YOUR NUMBERS</t>
        </is>
      </c>
      <c r="B3" s="3" t="n"/>
      <c r="C3" s="3" t="n"/>
      <c r="D3" s="3" t="n"/>
      <c r="E3" s="3" t="n"/>
      <c r="F3" s="3" t="n"/>
    </row>
    <row r="4">
      <c r="A4" s="4" t="inlineStr">
        <is>
          <t>Gross annual salary</t>
        </is>
      </c>
      <c r="C4" s="5" t="n">
        <v>75000</v>
      </c>
      <c r="D4" s="6" t="inlineStr">
        <is>
          <t>← type your salary here</t>
        </is>
      </c>
    </row>
    <row r="5">
      <c r="A5" s="4" t="inlineStr">
        <is>
          <t>Filing status</t>
        </is>
      </c>
      <c r="C5" s="7" t="inlineStr">
        <is>
          <t>Single</t>
        </is>
      </c>
    </row>
    <row r="6">
      <c r="A6" s="4" t="inlineStr">
        <is>
          <t>Tax year</t>
        </is>
      </c>
      <c r="C6" s="7" t="n">
        <v>2026</v>
      </c>
    </row>
    <row r="8">
      <c r="A8" s="2" t="inlineStr">
        <is>
          <t>RESULTS</t>
        </is>
      </c>
      <c r="B8" s="3" t="n"/>
      <c r="C8" s="3" t="n"/>
      <c r="D8" s="3" t="n"/>
      <c r="E8" s="3" t="n"/>
      <c r="F8" s="3" t="n"/>
    </row>
    <row r="9">
      <c r="A9" s="4" t="inlineStr">
        <is>
          <t>Standard deduction</t>
        </is>
      </c>
      <c r="C9" s="8">
        <f>Rates!$B$13</f>
        <v/>
      </c>
    </row>
    <row r="10">
      <c r="A10" s="4" t="inlineStr">
        <is>
          <t>Taxable income</t>
        </is>
      </c>
      <c r="C10" s="8">
        <f>MAX(0,$C$4-$C$9)</f>
        <v/>
      </c>
    </row>
    <row r="11">
      <c r="A11" s="9" t="inlineStr">
        <is>
          <t>Total federal income tax</t>
        </is>
      </c>
      <c r="C11" s="10">
        <f>SUM($F$18:$F$24)</f>
        <v/>
      </c>
    </row>
    <row r="12">
      <c r="A12" s="9" t="inlineStr">
        <is>
          <t>Effective rate (on gross salary)</t>
        </is>
      </c>
      <c r="C12" s="11">
        <f>IF($C$4=0,0,$C$11/$C$4)</f>
        <v/>
      </c>
      <c r="D12" s="6" t="inlineStr">
        <is>
          <t>← what you actually pay</t>
        </is>
      </c>
    </row>
    <row r="13">
      <c r="A13" s="4" t="inlineStr">
        <is>
          <t>Effective rate (on taxable income)</t>
        </is>
      </c>
      <c r="C13" s="12">
        <f>IF($C$10=0,0,$C$11/$C$10)</f>
        <v/>
      </c>
    </row>
    <row r="14">
      <c r="A14" s="4" t="inlineStr">
        <is>
          <t>Marginal rate (top bracket reached)</t>
        </is>
      </c>
      <c r="C14" s="12">
        <f>IF($C$10&lt;=0,0,INDEX($D$18:$D$24,SUMPRODUCT(--($E$18:$E$24&gt;0))))</f>
        <v/>
      </c>
      <c r="D14" s="6" t="inlineStr">
        <is>
          <t>← the bracket people confuse it with</t>
        </is>
      </c>
    </row>
    <row r="16">
      <c r="A16" s="2" t="inlineStr">
        <is>
          <t>BRACKET BY BRACKET</t>
        </is>
      </c>
      <c r="B16" s="3" t="n"/>
      <c r="C16" s="3" t="n"/>
      <c r="D16" s="3" t="n"/>
      <c r="E16" s="3" t="n"/>
      <c r="F16" s="3" t="n"/>
    </row>
    <row r="17">
      <c r="A17" s="13" t="inlineStr">
        <is>
          <t>Bracket</t>
        </is>
      </c>
      <c r="B17" s="13" t="inlineStr">
        <is>
          <t>From</t>
        </is>
      </c>
      <c r="C17" s="13" t="inlineStr">
        <is>
          <t>To</t>
        </is>
      </c>
      <c r="D17" s="13" t="inlineStr">
        <is>
          <t>Rate</t>
        </is>
      </c>
      <c r="E17" s="13" t="inlineStr">
        <is>
          <t>Income taxed here</t>
        </is>
      </c>
      <c r="F17" s="13" t="inlineStr">
        <is>
          <t>Tax</t>
        </is>
      </c>
    </row>
    <row r="18">
      <c r="A18" s="14" t="n">
        <v>1</v>
      </c>
      <c r="B18" s="15">
        <f>Rates!$B$4</f>
        <v/>
      </c>
      <c r="C18" s="15">
        <f>IF(Rates!$C$4&gt;=1E+12,"and above",Rates!$C$4)</f>
        <v/>
      </c>
      <c r="D18" s="16">
        <f>Rates!$D$4</f>
        <v/>
      </c>
      <c r="E18" s="15">
        <f>MAX(0,MIN($C$10,Rates!$C$4)-Rates!$B$4)</f>
        <v/>
      </c>
      <c r="F18" s="17">
        <f>$E18*$D18</f>
        <v/>
      </c>
    </row>
    <row r="19">
      <c r="A19" s="14" t="n">
        <v>2</v>
      </c>
      <c r="B19" s="15">
        <f>Rates!$B$5</f>
        <v/>
      </c>
      <c r="C19" s="15">
        <f>IF(Rates!$C$5&gt;=1E+12,"and above",Rates!$C$5)</f>
        <v/>
      </c>
      <c r="D19" s="16">
        <f>Rates!$D$5</f>
        <v/>
      </c>
      <c r="E19" s="15">
        <f>MAX(0,MIN($C$10,Rates!$C$5)-Rates!$B$5)</f>
        <v/>
      </c>
      <c r="F19" s="17">
        <f>$E19*$D19</f>
        <v/>
      </c>
    </row>
    <row r="20">
      <c r="A20" s="14" t="n">
        <v>3</v>
      </c>
      <c r="B20" s="15">
        <f>Rates!$B$6</f>
        <v/>
      </c>
      <c r="C20" s="15">
        <f>IF(Rates!$C$6&gt;=1E+12,"and above",Rates!$C$6)</f>
        <v/>
      </c>
      <c r="D20" s="16">
        <f>Rates!$D$6</f>
        <v/>
      </c>
      <c r="E20" s="15">
        <f>MAX(0,MIN($C$10,Rates!$C$6)-Rates!$B$6)</f>
        <v/>
      </c>
      <c r="F20" s="17">
        <f>$E20*$D20</f>
        <v/>
      </c>
    </row>
    <row r="21">
      <c r="A21" s="14" t="n">
        <v>4</v>
      </c>
      <c r="B21" s="15">
        <f>Rates!$B$7</f>
        <v/>
      </c>
      <c r="C21" s="15">
        <f>IF(Rates!$C$7&gt;=1E+12,"and above",Rates!$C$7)</f>
        <v/>
      </c>
      <c r="D21" s="16">
        <f>Rates!$D$7</f>
        <v/>
      </c>
      <c r="E21" s="15">
        <f>MAX(0,MIN($C$10,Rates!$C$7)-Rates!$B$7)</f>
        <v/>
      </c>
      <c r="F21" s="17">
        <f>$E21*$D21</f>
        <v/>
      </c>
    </row>
    <row r="22">
      <c r="A22" s="14" t="n">
        <v>5</v>
      </c>
      <c r="B22" s="15">
        <f>Rates!$B$8</f>
        <v/>
      </c>
      <c r="C22" s="15">
        <f>IF(Rates!$C$8&gt;=1E+12,"and above",Rates!$C$8)</f>
        <v/>
      </c>
      <c r="D22" s="16">
        <f>Rates!$D$8</f>
        <v/>
      </c>
      <c r="E22" s="15">
        <f>MAX(0,MIN($C$10,Rates!$C$8)-Rates!$B$8)</f>
        <v/>
      </c>
      <c r="F22" s="17">
        <f>$E22*$D22</f>
        <v/>
      </c>
    </row>
    <row r="23">
      <c r="A23" s="14" t="n">
        <v>6</v>
      </c>
      <c r="B23" s="15">
        <f>Rates!$B$9</f>
        <v/>
      </c>
      <c r="C23" s="15">
        <f>IF(Rates!$C$9&gt;=1E+12,"and above",Rates!$C$9)</f>
        <v/>
      </c>
      <c r="D23" s="16">
        <f>Rates!$D$9</f>
        <v/>
      </c>
      <c r="E23" s="15">
        <f>MAX(0,MIN($C$10,Rates!$C$9)-Rates!$B$9)</f>
        <v/>
      </c>
      <c r="F23" s="17">
        <f>$E23*$D23</f>
        <v/>
      </c>
    </row>
    <row r="24">
      <c r="A24" s="14" t="n">
        <v>7</v>
      </c>
      <c r="B24" s="15">
        <f>Rates!$B$10</f>
        <v/>
      </c>
      <c r="C24" s="15">
        <f>IF(Rates!$C$10&gt;=1E+12,"and above",Rates!$C$10)</f>
        <v/>
      </c>
      <c r="D24" s="16">
        <f>Rates!$D$10</f>
        <v/>
      </c>
      <c r="E24" s="15">
        <f>MAX(0,MIN($C$10,Rates!$C$10)-Rates!$B$10)</f>
        <v/>
      </c>
      <c r="F24" s="17">
        <f>$E24*$D24</f>
        <v/>
      </c>
    </row>
    <row r="25">
      <c r="E25" s="18" t="inlineStr">
        <is>
          <t>TOTAL</t>
        </is>
      </c>
      <c r="F25" s="19">
        <f>SUM($F$18:$F$24)</f>
        <v/>
      </c>
    </row>
    <row r="27">
      <c r="A27" s="20" t="inlineStr">
        <is>
          <t>Only the slice of income inside a bracket is taxed at that bracket's rate. Dollars in lower brackets keep their lower rate.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0" customWidth="1" min="4" max="4"/>
  </cols>
  <sheetData>
    <row r="1" ht="26" customHeight="1">
      <c r="A1" s="21" t="inlineStr">
        <is>
          <t>2026 TAX YEAR — SINGLE FILER</t>
        </is>
      </c>
    </row>
    <row r="2">
      <c r="A2" s="20" t="inlineStr">
        <is>
          <t>Applies to TAXABLE income (after the standard deduction), not to gross salary.</t>
        </is>
      </c>
    </row>
    <row r="3">
      <c r="A3" s="13" t="inlineStr">
        <is>
          <t>Bracket</t>
        </is>
      </c>
      <c r="B3" s="13" t="inlineStr">
        <is>
          <t>From</t>
        </is>
      </c>
      <c r="C3" s="13" t="inlineStr">
        <is>
          <t>To</t>
        </is>
      </c>
      <c r="D3" s="13" t="inlineStr">
        <is>
          <t>Rate</t>
        </is>
      </c>
    </row>
    <row r="4">
      <c r="A4" s="22" t="n">
        <v>1</v>
      </c>
      <c r="B4" s="15" t="n">
        <v>0</v>
      </c>
      <c r="C4" s="15" t="n">
        <v>12400</v>
      </c>
      <c r="D4" s="16" t="n">
        <v>0.1</v>
      </c>
    </row>
    <row r="5">
      <c r="A5" s="22" t="n">
        <v>2</v>
      </c>
      <c r="B5" s="15" t="n">
        <v>12400</v>
      </c>
      <c r="C5" s="15" t="n">
        <v>50400</v>
      </c>
      <c r="D5" s="16" t="n">
        <v>0.12</v>
      </c>
    </row>
    <row r="6">
      <c r="A6" s="22" t="n">
        <v>3</v>
      </c>
      <c r="B6" s="15" t="n">
        <v>50400</v>
      </c>
      <c r="C6" s="15" t="n">
        <v>105700</v>
      </c>
      <c r="D6" s="16" t="n">
        <v>0.22</v>
      </c>
    </row>
    <row r="7">
      <c r="A7" s="22" t="n">
        <v>4</v>
      </c>
      <c r="B7" s="15" t="n">
        <v>105700</v>
      </c>
      <c r="C7" s="15" t="n">
        <v>201775</v>
      </c>
      <c r="D7" s="16" t="n">
        <v>0.24</v>
      </c>
    </row>
    <row r="8">
      <c r="A8" s="22" t="n">
        <v>5</v>
      </c>
      <c r="B8" s="15" t="n">
        <v>201775</v>
      </c>
      <c r="C8" s="15" t="n">
        <v>256225</v>
      </c>
      <c r="D8" s="16" t="n">
        <v>0.32</v>
      </c>
    </row>
    <row r="9">
      <c r="A9" s="22" t="n">
        <v>6</v>
      </c>
      <c r="B9" s="15" t="n">
        <v>256225</v>
      </c>
      <c r="C9" s="15" t="n">
        <v>640600</v>
      </c>
      <c r="D9" s="16" t="n">
        <v>0.35</v>
      </c>
    </row>
    <row r="10">
      <c r="A10" s="22" t="n">
        <v>7</v>
      </c>
      <c r="B10" s="15" t="n">
        <v>640600</v>
      </c>
      <c r="C10" s="15" t="n">
        <v>1000000000000</v>
      </c>
      <c r="D10" s="16" t="n">
        <v>0.37</v>
      </c>
    </row>
    <row r="13">
      <c r="A13" s="23" t="inlineStr">
        <is>
          <t>Standard deduction — Single</t>
        </is>
      </c>
      <c r="B13" s="17" t="n">
        <v>16100</v>
      </c>
    </row>
    <row r="15">
      <c r="A15" s="24" t="inlineStr">
        <is>
          <t>Figures change every year. Before reusing this file for another tax year, check the Sources tab and re-read them at irs.gov.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4" customWidth="1" min="3" max="3"/>
    <col width="52" customWidth="1" min="4" max="4"/>
    <col width="14" customWidth="1" min="5" max="5"/>
  </cols>
  <sheetData>
    <row r="1" ht="26" customHeight="1">
      <c r="A1" s="21" t="inlineStr">
        <is>
          <t>PRIMARY SOURCES — every figure in this file</t>
        </is>
      </c>
    </row>
    <row r="3">
      <c r="A3" s="25" t="inlineStr">
        <is>
          <t>Item</t>
        </is>
      </c>
      <c r="B3" s="25" t="inlineStr">
        <is>
          <t>Source</t>
        </is>
      </c>
      <c r="C3" s="25" t="inlineStr">
        <is>
          <t>Reference</t>
        </is>
      </c>
      <c r="D3" s="25" t="inlineStr">
        <is>
          <t>URL</t>
        </is>
      </c>
      <c r="E3" s="25" t="inlineStr">
        <is>
          <t>Date checked</t>
        </is>
      </c>
    </row>
    <row r="4" ht="42" customHeight="1">
      <c r="A4" s="26" t="inlineStr">
        <is>
          <t>2026 tax rate schedules (single)</t>
        </is>
      </c>
      <c r="B4" s="27" t="inlineStr">
        <is>
          <t>IRS</t>
        </is>
      </c>
      <c r="C4" s="27" t="inlineStr">
        <is>
          <t>IR-2025-103 / Rev. Proc. 2025-32</t>
        </is>
      </c>
      <c r="D4" s="28" t="inlineStr">
        <is>
          <t>https://www.irs.gov/newsroom/irs-releases-tax-inflation-adjustments-for-tax-year-2026-including-amendments-from-the-one-big-beautiful-bill</t>
        </is>
      </c>
      <c r="E4" s="27" t="inlineStr">
        <is>
          <t>2026-09-15</t>
        </is>
      </c>
    </row>
    <row r="5" ht="42" customHeight="1">
      <c r="A5" s="26" t="inlineStr">
        <is>
          <t>2026 standard deduction (single)</t>
        </is>
      </c>
      <c r="B5" s="27" t="inlineStr">
        <is>
          <t>IRS</t>
        </is>
      </c>
      <c r="C5" s="27" t="inlineStr">
        <is>
          <t>IR-2025-103 / Rev. Proc. 2025-32</t>
        </is>
      </c>
      <c r="D5" s="28" t="inlineStr">
        <is>
          <t>https://www.irs.gov/newsroom/irs-releases-tax-inflation-adjustments-for-tax-year-2026-including-amendments-from-the-one-big-beautiful-bill</t>
        </is>
      </c>
      <c r="E5" s="27" t="inlineStr">
        <is>
          <t>2026-09-15</t>
        </is>
      </c>
    </row>
    <row r="6" ht="42" customHeight="1">
      <c r="A6" s="26" t="inlineStr">
        <is>
          <t>Premium Tax Credit — 400% FPL ceiling</t>
        </is>
      </c>
      <c r="B6" s="27" t="inlineStr">
        <is>
          <t>IRS</t>
        </is>
      </c>
      <c r="C6" s="27" t="inlineStr">
        <is>
          <t>FS-2025-10, Q7 (updated Feb. 19, 2026)</t>
        </is>
      </c>
      <c r="D6" s="28" t="inlineStr">
        <is>
          <t>https://www.irs.gov/affordable-care-act/individuals-and-families/questions-and-answers-on-the-premium-tax-credit</t>
        </is>
      </c>
      <c r="E6" s="27" t="inlineStr">
        <is>
          <t>2026-09-15</t>
        </is>
      </c>
    </row>
    <row r="9">
      <c r="A9" s="20" t="inlineStr">
        <is>
          <t>Nothing here is sourced from a blog, a news site, or an AI. Every number was read on the issuing agency's own page.</t>
        </is>
      </c>
    </row>
  </sheetData>
  <mergeCells count="1">
    <mergeCell ref="A1:E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2026-09-15T08:57:42Z</dcterms:created>
  <dcterms:modified xmlns:dcterms="http://purl.org/dc/terms/" xmlns:xsi="http://www.w3.org/2001/XMLSchema-instance" xsi:type="dcterms:W3CDTF">2026-09-15T08:57:42Z</dcterms:modified>
</cp:coreProperties>
</file>