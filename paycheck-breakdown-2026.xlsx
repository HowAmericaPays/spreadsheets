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2F0EB"/>
      <sz val="11"/>
    </font>
    <font>
      <color rgb="00000000"/>
      <sz val="11"/>
    </font>
    <font>
      <b val="1"/>
      <color rgb="00000000"/>
      <sz val="11"/>
    </font>
    <font>
      <i val="1"/>
      <color rgb="007A7A7A"/>
      <sz val="10"/>
    </font>
    <font>
      <i val="1"/>
      <color rgb="00AA3333"/>
      <sz val="10"/>
    </font>
    <font>
      <b val="1"/>
      <color rgb="000F1B2D"/>
      <sz val="11"/>
    </font>
    <font>
      <b val="1"/>
      <color rgb="000F1B2D"/>
      <sz val="13"/>
    </font>
    <font>
      <i val="1"/>
      <color rgb="005A5A5A"/>
      <sz val="10"/>
    </font>
    <font>
      <b val="1"/>
      <color rgb="00F2F0EB"/>
      <sz val="13"/>
    </font>
    <font>
      <i val="1"/>
      <color rgb="00C2503F"/>
      <sz val="10"/>
    </font>
    <font>
      <color rgb="00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00C2503F"/>
      </patternFill>
    </fill>
    <fill>
      <patternFill patternType="solid">
        <fgColor rgb="000F1B2D"/>
      </patternFill>
    </fill>
    <fill>
      <patternFill patternType="solid">
        <fgColor rgb="00E8A33D"/>
      </patternFill>
    </fill>
    <fill>
      <patternFill patternType="solid">
        <fgColor rgb="00F7E4E0"/>
      </patternFill>
    </fill>
    <fill>
      <patternFill patternType="solid">
        <fgColor rgb="00E3F0E8"/>
      </patternFill>
    </fill>
    <fill>
      <patternFill patternType="solid">
        <fgColor rgb="00EDEFF2"/>
      </patternFill>
    </fill>
  </fills>
  <borders count="2">
    <border>
      <left/>
      <right/>
      <top/>
      <bottom/>
      <diagonal/>
    </border>
    <border>
      <left style="thin">
        <color rgb="00C9CFD8"/>
      </left>
      <right style="thin">
        <color rgb="00C9CFD8"/>
      </right>
      <top style="thin">
        <color rgb="00C9CFD8"/>
      </top>
      <bottom style="thin">
        <color rgb="00C9CFD8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0" fillId="3" borderId="0" pivotButton="0" quotePrefix="0" xfId="0"/>
    <xf numFmtId="0" fontId="3" fillId="0" borderId="0" pivotButton="0" quotePrefix="0" xfId="0"/>
    <xf numFmtId="164" fontId="4" fillId="4" borderId="1" applyAlignment="1" pivotButton="0" quotePrefix="0" xfId="0">
      <alignment horizontal="right"/>
    </xf>
    <xf numFmtId="0" fontId="5" fillId="0" borderId="0" pivotButton="0" quotePrefix="0" xfId="0"/>
    <xf numFmtId="1" fontId="4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166" fontId="4" fillId="4" borderId="1" applyAlignment="1" pivotButton="0" quotePrefix="0" xfId="0">
      <alignment horizontal="right"/>
    </xf>
    <xf numFmtId="0" fontId="4" fillId="0" borderId="0" pivotButton="0" quotePrefix="0" xfId="0"/>
    <xf numFmtId="166" fontId="4" fillId="0" borderId="0" applyAlignment="1" pivotButton="0" quotePrefix="0" xfId="0">
      <alignment horizontal="right"/>
    </xf>
    <xf numFmtId="166" fontId="3" fillId="0" borderId="0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166" fontId="3" fillId="5" borderId="1" applyAlignment="1" pivotButton="0" quotePrefix="0" xfId="0">
      <alignment horizontal="right"/>
    </xf>
    <xf numFmtId="166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166" fontId="4" fillId="5" borderId="1" applyAlignment="1" pivotButton="0" quotePrefix="0" xfId="0">
      <alignment horizontal="right"/>
    </xf>
    <xf numFmtId="166" fontId="4" fillId="6" borderId="1" applyAlignment="1" pivotButton="0" quotePrefix="0" xfId="0">
      <alignment horizontal="right"/>
    </xf>
    <xf numFmtId="166" fontId="7" fillId="7" borderId="1" applyAlignment="1" pivotButton="0" quotePrefix="0" xfId="0">
      <alignment horizontal="right"/>
    </xf>
    <xf numFmtId="166" fontId="8" fillId="4" borderId="1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9" fillId="0" borderId="0" pivotButton="0" quotePrefix="0" xfId="0"/>
    <xf numFmtId="0" fontId="10" fillId="3" borderId="0" pivotButton="0" quotePrefix="0" xfId="0"/>
    <xf numFmtId="1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11" fillId="0" borderId="0" pivotButton="0" quotePrefix="0" xfId="0"/>
    <xf numFmtId="0" fontId="4" fillId="7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ssa.gov/oact/cola/cbb.html" TargetMode="External" Id="rId1"/><Relationship Type="http://schemas.openxmlformats.org/officeDocument/2006/relationships/hyperlink" Target="https://www.irs.gov/taxtopics/tc751" TargetMode="External" Id="rId2"/><Relationship Type="http://schemas.openxmlformats.org/officeDocument/2006/relationships/hyperlink" Target="https://www.irs.gov/taxtopics/tc424" TargetMode="External" Id="rId3"/><Relationship Type="http://schemas.openxmlformats.org/officeDocument/2006/relationships/hyperlink" Target="https://www.irs.gov/newsroom/irs-releases-tax-inflation-adjustments-for-tax-year-2026-including-amendments-from-the-one-big-beautiful-bill" TargetMode="External" Id="rId4"/><Relationship Type="http://schemas.openxmlformats.org/officeDocument/2006/relationships/hyperlink" Target="https://www.irs.gov/pub/irs-pdf/p15t.pdf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34" customWidth="1" min="4" max="4"/>
    <col width="12" customWidth="1" min="5" max="5"/>
    <col width="16" customWidth="1" min="6" max="6"/>
    <col width="14" customWidth="1" min="7" max="7"/>
  </cols>
  <sheetData>
    <row r="1" ht="34" customHeight="1">
      <c r="A1" s="1" t="inlineStr">
        <is>
          <t>Educational tool, not tax or financial advice. 2026 tax year, single filer, federal only — no state income tax. Withholding is an estimate, not your final tax.</t>
        </is>
      </c>
    </row>
    <row r="3">
      <c r="A3" s="2" t="inlineStr">
        <is>
          <t>YOUR NUMBERS</t>
        </is>
      </c>
      <c r="B3" s="3" t="n"/>
      <c r="C3" s="3" t="n"/>
      <c r="D3" s="3" t="n"/>
      <c r="E3" s="3" t="n"/>
      <c r="F3" s="3" t="n"/>
    </row>
    <row r="4">
      <c r="A4" s="4" t="inlineStr">
        <is>
          <t>Gross annual salary</t>
        </is>
      </c>
      <c r="C4" s="5" t="n">
        <v>78000</v>
      </c>
      <c r="D4" s="6" t="inlineStr">
        <is>
          <t>← fill the four amber cells</t>
        </is>
      </c>
    </row>
    <row r="5">
      <c r="A5" s="4" t="inlineStr">
        <is>
          <t>Pay periods per year</t>
        </is>
      </c>
      <c r="C5" s="7" t="n">
        <v>26</v>
      </c>
    </row>
    <row r="6">
      <c r="A6" s="4" t="inlineStr">
        <is>
          <t>401(k) contribution rate</t>
        </is>
      </c>
      <c r="C6" s="8" t="n">
        <v>0.06</v>
      </c>
    </row>
    <row r="7">
      <c r="A7" s="4" t="inlineStr">
        <is>
          <t>Health premium per paycheck</t>
        </is>
      </c>
      <c r="C7" s="9" t="n">
        <v>120</v>
      </c>
      <c r="D7" s="6" t="inlineStr">
        <is>
          <t>pre-tax, through a Section 125 plan</t>
        </is>
      </c>
    </row>
    <row r="9">
      <c r="A9" s="2" t="inlineStr">
        <is>
          <t>PER PAYCHECK</t>
        </is>
      </c>
      <c r="B9" s="3" t="n"/>
      <c r="C9" s="3" t="n"/>
      <c r="D9" s="3" t="n"/>
      <c r="E9" s="3" t="n"/>
      <c r="F9" s="3" t="n"/>
    </row>
    <row r="10">
      <c r="A10" s="10" t="inlineStr">
        <is>
          <t>Gross pay</t>
        </is>
      </c>
      <c r="C10" s="11">
        <f>$C$4/$C$5</f>
        <v/>
      </c>
    </row>
    <row r="11">
      <c r="A11" s="4" t="inlineStr">
        <is>
          <t>401(k) contribution</t>
        </is>
      </c>
      <c r="C11" s="12">
        <f>-$C$10*$C$6</f>
        <v/>
      </c>
    </row>
    <row r="12">
      <c r="A12" s="4" t="inlineStr">
        <is>
          <t>Health premium</t>
        </is>
      </c>
      <c r="C12" s="12">
        <f>-$C$7</f>
        <v/>
      </c>
    </row>
    <row r="14">
      <c r="A14" s="2" t="inlineStr">
        <is>
          <t>THE TWO TAXABLE BASES</t>
        </is>
      </c>
      <c r="B14" s="3" t="n"/>
      <c r="C14" s="3" t="n"/>
      <c r="D14" s="3" t="n"/>
      <c r="E14" s="3" t="n"/>
      <c r="F14" s="3" t="n"/>
    </row>
    <row r="15">
      <c r="B15" s="13" t="inlineStr">
        <is>
          <t>FICA base</t>
        </is>
      </c>
      <c r="D15" s="14" t="inlineStr">
        <is>
          <t>Income tax base</t>
        </is>
      </c>
    </row>
    <row r="16">
      <c r="A16" s="4" t="inlineStr">
        <is>
          <t>Gross pay</t>
        </is>
      </c>
      <c r="B16" s="15">
        <f>$C$10</f>
        <v/>
      </c>
      <c r="D16" s="16">
        <f>$C$10</f>
        <v/>
      </c>
    </row>
    <row r="17">
      <c r="A17" s="4" t="inlineStr">
        <is>
          <t>minus health premium</t>
        </is>
      </c>
      <c r="B17" s="15">
        <f>-$C$7</f>
        <v/>
      </c>
      <c r="D17" s="16">
        <f>-$C$7</f>
        <v/>
      </c>
    </row>
    <row r="18">
      <c r="A18" s="4" t="inlineStr">
        <is>
          <t>minus 401(k)</t>
        </is>
      </c>
      <c r="B18" s="17" t="inlineStr">
        <is>
          <t>not deducted</t>
        </is>
      </c>
      <c r="D18" s="16">
        <f>$C$11</f>
        <v/>
      </c>
    </row>
    <row r="19">
      <c r="A19" s="10">
        <f> TAXABLE BASE</f>
        <v/>
      </c>
      <c r="B19" s="18">
        <f>$B$16+$B$17</f>
        <v/>
      </c>
      <c r="D19" s="19">
        <f>$D$16+$D$17+$D$18</f>
        <v/>
      </c>
    </row>
    <row r="20">
      <c r="A20" s="10" t="inlineStr">
        <is>
          <t>Difference = your 401(k)</t>
        </is>
      </c>
      <c r="C20" s="20">
        <f>$B$19-$D$19</f>
        <v/>
      </c>
      <c r="D20" s="6" t="inlineStr">
        <is>
          <t>← FICA is charged on this; income tax is not</t>
        </is>
      </c>
    </row>
    <row r="22">
      <c r="A22" s="2" t="inlineStr">
        <is>
          <t>WITHHELD FROM THIS PAYCHECK</t>
        </is>
      </c>
      <c r="B22" s="3" t="n"/>
      <c r="C22" s="3" t="n"/>
      <c r="D22" s="3" t="n"/>
      <c r="E22" s="3" t="n"/>
      <c r="F22" s="3" t="n"/>
    </row>
    <row r="23">
      <c r="A23" s="4" t="inlineStr">
        <is>
          <t>Social Security (6.2% of FICA base)</t>
        </is>
      </c>
      <c r="C23" s="12">
        <f>-$B$19*Rates!$B$4</f>
        <v/>
      </c>
    </row>
    <row r="24">
      <c r="A24" s="4" t="inlineStr">
        <is>
          <t>Medicare (1.45% of FICA base)</t>
        </is>
      </c>
      <c r="C24" s="12">
        <f>-$B$19*Rates!$B$5</f>
        <v/>
      </c>
    </row>
    <row r="25">
      <c r="A25" s="4" t="inlineStr">
        <is>
          <t>Federal income tax</t>
        </is>
      </c>
      <c r="C25" s="12">
        <f>-$C$38/$C$5</f>
        <v/>
      </c>
    </row>
    <row r="26">
      <c r="A26" s="10" t="inlineStr">
        <is>
          <t>Total withheld</t>
        </is>
      </c>
      <c r="C26" s="11">
        <f>$C$23+$C$24+$C$25</f>
        <v/>
      </c>
    </row>
    <row r="28">
      <c r="A28" s="2" t="inlineStr">
        <is>
          <t>NET PAY</t>
        </is>
      </c>
      <c r="B28" s="3" t="n"/>
      <c r="C28" s="3" t="n"/>
      <c r="D28" s="3" t="n"/>
      <c r="E28" s="3" t="n"/>
      <c r="F28" s="3" t="n"/>
    </row>
    <row r="29">
      <c r="A29" s="10" t="inlineStr">
        <is>
          <t>Take-home per paycheck</t>
        </is>
      </c>
      <c r="C29" s="21">
        <f>$C$10+$C$11+$C$12+$C$23+$C$24+$C$25</f>
        <v/>
      </c>
    </row>
    <row r="30">
      <c r="A30" s="10" t="inlineStr">
        <is>
          <t>As a share of gross</t>
        </is>
      </c>
      <c r="C30" s="22">
        <f>IF($C$10=0,0,$C$29/$C$10)</f>
        <v/>
      </c>
    </row>
    <row r="31">
      <c r="A31" s="4" t="inlineStr">
        <is>
          <t>FICA paid on your 401(k), per year</t>
        </is>
      </c>
      <c r="C31" s="12">
        <f>-$C$11*(Rates!$B$4+Rates!$B$5)*$C$5</f>
        <v/>
      </c>
    </row>
    <row r="33">
      <c r="A33" s="2" t="inlineStr">
        <is>
          <t>ANNUAL — INCOME TAX WORKING</t>
        </is>
      </c>
      <c r="B33" s="3" t="n"/>
      <c r="C33" s="3" t="n"/>
      <c r="D33" s="3" t="n"/>
      <c r="E33" s="3" t="n"/>
      <c r="F33" s="3" t="n"/>
    </row>
    <row r="34">
      <c r="A34" s="4" t="inlineStr">
        <is>
          <t>Income tax base, annualised</t>
        </is>
      </c>
      <c r="C34" s="23">
        <f>$D$19*$C$5</f>
        <v/>
      </c>
    </row>
    <row r="35">
      <c r="A35" s="4" t="inlineStr">
        <is>
          <t>Standard deduction</t>
        </is>
      </c>
      <c r="C35" s="23">
        <f>-Rates!$B$16</f>
        <v/>
      </c>
    </row>
    <row r="36">
      <c r="A36" s="10" t="inlineStr">
        <is>
          <t>Taxable income</t>
        </is>
      </c>
      <c r="C36" s="24">
        <f>MAX(0,$C$34+$C$35)</f>
        <v/>
      </c>
    </row>
    <row r="37">
      <c r="A37" s="4" t="inlineStr">
        <is>
          <t>Marginal rate</t>
        </is>
      </c>
      <c r="C37" s="25">
        <f>IF($C$36&lt;=0,0,INDEX(Rates!$H$4:$H$10,SUMPRODUCT(--(F41:F47&gt;0))))</f>
        <v/>
      </c>
    </row>
    <row r="38">
      <c r="A38" s="10" t="inlineStr">
        <is>
          <t>Federal income tax for the year</t>
        </is>
      </c>
      <c r="C38" s="11">
        <f>SUM($G$41:$G$47)</f>
        <v/>
      </c>
    </row>
    <row r="40">
      <c r="E40" s="26" t="inlineStr">
        <is>
          <t>bracket</t>
        </is>
      </c>
      <c r="F40" s="26" t="inlineStr">
        <is>
          <t>taxed here</t>
        </is>
      </c>
      <c r="G40" s="26" t="inlineStr">
        <is>
          <t>tax</t>
        </is>
      </c>
    </row>
    <row r="41">
      <c r="E41" s="27">
        <f>Rates!$H4</f>
        <v/>
      </c>
      <c r="F41" s="28">
        <f>MAX(0,MIN($C$36,Rates!$G4)-Rates!$F4)</f>
        <v/>
      </c>
      <c r="G41" s="29">
        <f>$F41*$E41</f>
        <v/>
      </c>
    </row>
    <row r="42">
      <c r="E42" s="27">
        <f>Rates!$H5</f>
        <v/>
      </c>
      <c r="F42" s="28">
        <f>MAX(0,MIN($C$36,Rates!$G5)-Rates!$F5)</f>
        <v/>
      </c>
      <c r="G42" s="29">
        <f>$F42*$E42</f>
        <v/>
      </c>
    </row>
    <row r="43">
      <c r="E43" s="27">
        <f>Rates!$H6</f>
        <v/>
      </c>
      <c r="F43" s="28">
        <f>MAX(0,MIN($C$36,Rates!$G6)-Rates!$F6)</f>
        <v/>
      </c>
      <c r="G43" s="29">
        <f>$F43*$E43</f>
        <v/>
      </c>
    </row>
    <row r="44">
      <c r="E44" s="27">
        <f>Rates!$H7</f>
        <v/>
      </c>
      <c r="F44" s="28">
        <f>MAX(0,MIN($C$36,Rates!$G7)-Rates!$F7)</f>
        <v/>
      </c>
      <c r="G44" s="29">
        <f>$F44*$E44</f>
        <v/>
      </c>
    </row>
    <row r="45">
      <c r="E45" s="27">
        <f>Rates!$H8</f>
        <v/>
      </c>
      <c r="F45" s="28">
        <f>MAX(0,MIN($C$36,Rates!$G8)-Rates!$F8)</f>
        <v/>
      </c>
      <c r="G45" s="29">
        <f>$F45*$E45</f>
        <v/>
      </c>
    </row>
    <row r="46">
      <c r="E46" s="27">
        <f>Rates!$H9</f>
        <v/>
      </c>
      <c r="F46" s="28">
        <f>MAX(0,MIN($C$36,Rates!$G9)-Rates!$F9)</f>
        <v/>
      </c>
      <c r="G46" s="29">
        <f>$F46*$E46</f>
        <v/>
      </c>
    </row>
    <row r="47">
      <c r="E47" s="27">
        <f>Rates!$H10</f>
        <v/>
      </c>
      <c r="F47" s="28">
        <f>MAX(0,MIN($C$36,Rates!$G10)-Rates!$F10)</f>
        <v/>
      </c>
      <c r="G47" s="29">
        <f>$F47*$E47</f>
        <v/>
      </c>
    </row>
    <row r="49">
      <c r="A49" s="2" t="inlineStr">
        <is>
          <t>SOCIAL SECURITY CAP</t>
        </is>
      </c>
      <c r="B49" s="3" t="n"/>
      <c r="C49" s="3" t="n"/>
      <c r="D49" s="3" t="n"/>
      <c r="E49" s="3" t="n"/>
      <c r="F49" s="3" t="n"/>
    </row>
    <row r="50">
      <c r="A50" s="4" t="inlineStr">
        <is>
          <t>Annual FICA wages</t>
        </is>
      </c>
      <c r="C50" s="23">
        <f>$B$19*$C$5</f>
        <v/>
      </c>
    </row>
    <row r="51">
      <c r="A51" s="4" t="inlineStr">
        <is>
          <t>2026 wage base</t>
        </is>
      </c>
      <c r="C51" s="23">
        <f>Rates!$B$6</f>
        <v/>
      </c>
    </row>
    <row r="52">
      <c r="A52" s="10" t="inlineStr">
        <is>
          <t>Social Security for the year</t>
        </is>
      </c>
      <c r="C52" s="11">
        <f>MIN($C$50,$C$51)*Rates!$B$4</f>
        <v/>
      </c>
    </row>
    <row r="53">
      <c r="A53" s="10" t="inlineStr">
        <is>
          <t>Cap reached?</t>
        </is>
      </c>
      <c r="C53" s="30">
        <f>IF($C$50&gt;$C$51,"YES — withholding stops mid-year","no")</f>
        <v/>
      </c>
    </row>
    <row r="54">
      <c r="A54" s="31" t="inlineStr">
        <is>
          <t>Medicare has no cap. It keeps taking 1.45% of every dollar.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" customWidth="1" min="3" max="3"/>
    <col width="4" customWidth="1" min="4" max="4"/>
    <col width="4" customWidth="1" min="5" max="5"/>
    <col width="16" customWidth="1" min="6" max="6"/>
    <col width="16" customWidth="1" min="7" max="7"/>
    <col width="10" customWidth="1" min="8" max="8"/>
  </cols>
  <sheetData>
    <row r="1" ht="26" customHeight="1">
      <c r="A1" s="32" t="inlineStr">
        <is>
          <t>2026 TAX YEAR — SINGLE FILER</t>
        </is>
      </c>
    </row>
    <row r="2">
      <c r="F2" s="10" t="inlineStr">
        <is>
          <t>Income tax brackets (on taxable income)</t>
        </is>
      </c>
    </row>
    <row r="3">
      <c r="A3" s="10" t="inlineStr">
        <is>
          <t>Payroll taxes</t>
        </is>
      </c>
      <c r="F3" s="26" t="inlineStr">
        <is>
          <t>From</t>
        </is>
      </c>
      <c r="G3" s="26" t="inlineStr">
        <is>
          <t>To</t>
        </is>
      </c>
      <c r="H3" s="26" t="inlineStr">
        <is>
          <t>Rate</t>
        </is>
      </c>
    </row>
    <row r="4">
      <c r="A4" s="4" t="inlineStr">
        <is>
          <t>Social Security rate (employee)</t>
        </is>
      </c>
      <c r="B4" s="33" t="n">
        <v>0.062</v>
      </c>
      <c r="F4" s="28" t="n">
        <v>0</v>
      </c>
      <c r="G4" s="28" t="n">
        <v>12400</v>
      </c>
      <c r="H4" s="27" t="n">
        <v>0.1</v>
      </c>
    </row>
    <row r="5">
      <c r="A5" s="4" t="inlineStr">
        <is>
          <t>Medicare rate (employee)</t>
        </is>
      </c>
      <c r="B5" s="33" t="n">
        <v>0.0145</v>
      </c>
      <c r="F5" s="28" t="n">
        <v>12400</v>
      </c>
      <c r="G5" s="28" t="n">
        <v>50400</v>
      </c>
      <c r="H5" s="27" t="n">
        <v>0.12</v>
      </c>
    </row>
    <row r="6">
      <c r="A6" s="4" t="inlineStr">
        <is>
          <t>Social Security wage base</t>
        </is>
      </c>
      <c r="B6" s="34" t="n">
        <v>184500</v>
      </c>
      <c r="F6" s="28" t="n">
        <v>50400</v>
      </c>
      <c r="G6" s="28" t="n">
        <v>105700</v>
      </c>
      <c r="H6" s="27" t="n">
        <v>0.22</v>
      </c>
    </row>
    <row r="7">
      <c r="A7" s="4" t="inlineStr">
        <is>
          <t>Additional Medicare rate</t>
        </is>
      </c>
      <c r="B7" s="33" t="n">
        <v>0.008999999999999999</v>
      </c>
      <c r="F7" s="28" t="n">
        <v>105700</v>
      </c>
      <c r="G7" s="28" t="n">
        <v>201775</v>
      </c>
      <c r="H7" s="27" t="n">
        <v>0.24</v>
      </c>
    </row>
    <row r="8">
      <c r="A8" s="4" t="inlineStr">
        <is>
          <t>Additional Medicare threshold</t>
        </is>
      </c>
      <c r="B8" s="34" t="n">
        <v>200000</v>
      </c>
      <c r="F8" s="28" t="n">
        <v>201775</v>
      </c>
      <c r="G8" s="28" t="n">
        <v>256225</v>
      </c>
      <c r="H8" s="27" t="n">
        <v>0.32</v>
      </c>
    </row>
    <row r="9">
      <c r="F9" s="28" t="n">
        <v>256225</v>
      </c>
      <c r="G9" s="28" t="n">
        <v>640600</v>
      </c>
      <c r="H9" s="27" t="n">
        <v>0.35</v>
      </c>
    </row>
    <row r="10">
      <c r="F10" s="28" t="n">
        <v>640600</v>
      </c>
      <c r="G10" s="28" t="n">
        <v>1000000000000</v>
      </c>
      <c r="H10" s="27" t="n">
        <v>0.37</v>
      </c>
    </row>
    <row r="16">
      <c r="A16" s="10" t="inlineStr">
        <is>
          <t>Standard deduction — single</t>
        </is>
      </c>
      <c r="B16" s="34" t="n">
        <v>16100</v>
      </c>
    </row>
    <row r="18">
      <c r="A18" s="35" t="inlineStr">
        <is>
          <t>Figures change every year. Check the Sources tab before reusing this file for another tax year.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32" customWidth="1" min="3" max="3"/>
    <col width="50" customWidth="1" min="4" max="4"/>
    <col width="14" customWidth="1" min="5" max="5"/>
  </cols>
  <sheetData>
    <row r="1" ht="26" customHeight="1">
      <c r="A1" s="32" t="inlineStr">
        <is>
          <t>PRIMARY SOURCES — every figure in this file</t>
        </is>
      </c>
    </row>
    <row r="3">
      <c r="A3" s="36" t="inlineStr">
        <is>
          <t>Item</t>
        </is>
      </c>
      <c r="B3" s="36" t="inlineStr">
        <is>
          <t>Source</t>
        </is>
      </c>
      <c r="C3" s="36" t="inlineStr">
        <is>
          <t>Reference</t>
        </is>
      </c>
      <c r="D3" s="36" t="inlineStr">
        <is>
          <t>URL</t>
        </is>
      </c>
      <c r="E3" s="36" t="inlineStr">
        <is>
          <t>Date checked</t>
        </is>
      </c>
    </row>
    <row r="4" ht="44" customHeight="1">
      <c r="A4" s="37" t="inlineStr">
        <is>
          <t>2026 Social Security rate and wage base</t>
        </is>
      </c>
      <c r="B4" s="38" t="inlineStr">
        <is>
          <t>SSA</t>
        </is>
      </c>
      <c r="C4" s="38" t="inlineStr">
        <is>
          <t>Contribution and Benefit Base</t>
        </is>
      </c>
      <c r="D4" s="39" t="inlineStr">
        <is>
          <t>https://www.ssa.gov/oact/cola/cbb.html</t>
        </is>
      </c>
      <c r="E4" s="38" t="inlineStr">
        <is>
          <t>2026-09-15</t>
        </is>
      </c>
    </row>
    <row r="5" ht="44" customHeight="1">
      <c r="A5" s="37" t="inlineStr">
        <is>
          <t>Social Security and Medicare rates, wage base, Additional Medicare tax</t>
        </is>
      </c>
      <c r="B5" s="38" t="inlineStr">
        <is>
          <t>IRS</t>
        </is>
      </c>
      <c r="C5" s="38" t="inlineStr">
        <is>
          <t>Topic no. 751</t>
        </is>
      </c>
      <c r="D5" s="39" t="inlineStr">
        <is>
          <t>https://www.irs.gov/taxtopics/tc751</t>
        </is>
      </c>
      <c r="E5" s="38" t="inlineStr">
        <is>
          <t>2026-09-15</t>
        </is>
      </c>
    </row>
    <row r="6" ht="44" customHeight="1">
      <c r="A6" s="37" t="inlineStr">
        <is>
          <t>401(k) deferrals ARE subject to Social Security and Medicare</t>
        </is>
      </c>
      <c r="B6" s="38" t="inlineStr">
        <is>
          <t>IRS</t>
        </is>
      </c>
      <c r="C6" s="38" t="inlineStr">
        <is>
          <t>Topic no. 424</t>
        </is>
      </c>
      <c r="D6" s="39" t="inlineStr">
        <is>
          <t>https://www.irs.gov/taxtopics/tc424</t>
        </is>
      </c>
      <c r="E6" s="38" t="inlineStr">
        <is>
          <t>2026-09-15</t>
        </is>
      </c>
    </row>
    <row r="7" ht="44" customHeight="1">
      <c r="A7" s="37" t="inlineStr">
        <is>
          <t>2026 standard deduction and tax brackets</t>
        </is>
      </c>
      <c r="B7" s="38" t="inlineStr">
        <is>
          <t>IRS</t>
        </is>
      </c>
      <c r="C7" s="38" t="inlineStr">
        <is>
          <t>IR-2025-103 / Rev. Proc. 2025-32</t>
        </is>
      </c>
      <c r="D7" s="39" t="inlineStr">
        <is>
          <t>https://www.irs.gov/newsroom/irs-releases-tax-inflation-adjustments-for-tax-year-2026-including-amendments-from-the-one-big-beautiful-bill</t>
        </is>
      </c>
      <c r="E7" s="38" t="inlineStr">
        <is>
          <t>2026-09-15</t>
        </is>
      </c>
    </row>
    <row r="8" ht="44" customHeight="1">
      <c r="A8" s="37" t="inlineStr">
        <is>
          <t>Withholding is an estimate, not final tax</t>
        </is>
      </c>
      <c r="B8" s="38" t="inlineStr">
        <is>
          <t>IRS</t>
        </is>
      </c>
      <c r="C8" s="38" t="inlineStr">
        <is>
          <t>Publication 15-T</t>
        </is>
      </c>
      <c r="D8" s="39" t="inlineStr">
        <is>
          <t>https://www.irs.gov/pub/irs-pdf/p15t.pdf</t>
        </is>
      </c>
      <c r="E8" s="38" t="inlineStr">
        <is>
          <t>2026-09-15</t>
        </is>
      </c>
    </row>
    <row r="11">
      <c r="A11" s="31" t="inlineStr">
        <is>
          <t>Nothing here is sourced from a blog, a news site, or an AI. Every number was read on the issuing agency's own page.</t>
        </is>
      </c>
    </row>
  </sheetData>
  <mergeCells count="1">
    <mergeCell ref="A1:E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2026-09-15T15:13:26Z</dcterms:created>
  <dcterms:modified xmlns:dcterms="http://purl.org/dc/terms/" xmlns:xsi="http://www.w3.org/2001/XMLSchema-instance" xsi:type="dcterms:W3CDTF">2026-09-15T15:13:26Z</dcterms:modified>
</cp:coreProperties>
</file>