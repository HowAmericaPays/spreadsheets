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lculator" sheetId="1" state="visible" r:id="rId1"/>
    <sheet xmlns:r="http://schemas.openxmlformats.org/officeDocument/2006/relationships" name="Rates" sheetId="2" state="visible" r:id="rId2"/>
    <sheet xmlns:r="http://schemas.openxmlformats.org/officeDocument/2006/relationships" name="Sources" sheetId="3" state="visible" r:id="rId3"/>
  </sheets>
  <definedNames/>
  <calcPr calcId="124519" fullCalcOnLoad="1"/>
</workbook>
</file>

<file path=xl/styles.xml><?xml version="1.0" encoding="utf-8"?>
<styleSheet xmlns="http://schemas.openxmlformats.org/spreadsheetml/2006/main">
  <numFmts count="2">
    <numFmt numFmtId="164" formatCode="&quot;$&quot;#,##0.00"/>
    <numFmt numFmtId="165" formatCode="&quot;$&quot;#,##0"/>
  </numFmts>
  <fonts count="10">
    <font>
      <name val="Calibri"/>
      <family val="2"/>
      <color theme="1"/>
      <sz val="11"/>
      <scheme val="minor"/>
    </font>
    <font>
      <b val="1"/>
      <color rgb="00FFFFFF"/>
      <sz val="11"/>
    </font>
    <font>
      <b val="1"/>
      <color rgb="00F2F0EB"/>
      <sz val="11"/>
    </font>
    <font>
      <color rgb="00000000"/>
      <sz val="11"/>
    </font>
    <font>
      <b val="1"/>
      <color rgb="00000000"/>
      <sz val="11"/>
    </font>
    <font>
      <i val="1"/>
      <color rgb="007A7A7A"/>
      <sz val="10"/>
    </font>
    <font>
      <b val="1"/>
      <color rgb="000F1B2D"/>
      <sz val="13"/>
    </font>
    <font>
      <b val="1"/>
      <color rgb="000F1B2D"/>
      <sz val="14"/>
    </font>
    <font>
      <i val="1"/>
      <color rgb="00404040"/>
      <sz val="10"/>
    </font>
    <font>
      <i val="1"/>
      <color rgb="00000000"/>
      <sz val="11"/>
    </font>
  </fonts>
  <fills count="8">
    <fill>
      <patternFill/>
    </fill>
    <fill>
      <patternFill patternType="gray125"/>
    </fill>
    <fill>
      <patternFill patternType="solid">
        <fgColor rgb="00C2503F"/>
      </patternFill>
    </fill>
    <fill>
      <patternFill patternType="solid">
        <fgColor rgb="000F1B2D"/>
      </patternFill>
    </fill>
    <fill>
      <patternFill patternType="solid">
        <fgColor rgb="00E8A33D"/>
      </patternFill>
    </fill>
    <fill>
      <patternFill patternType="solid">
        <fgColor rgb="00EDEFF2"/>
      </patternFill>
    </fill>
    <fill>
      <patternFill patternType="solid">
        <fgColor rgb="00F7E4E0"/>
      </patternFill>
    </fill>
    <fill>
      <patternFill patternType="solid">
        <fgColor rgb="00E3F0E8"/>
      </patternFill>
    </fill>
  </fills>
  <borders count="2">
    <border>
      <left/>
      <right/>
      <top/>
      <bottom/>
      <diagonal/>
    </border>
    <border>
      <left style="thin">
        <color rgb="00C9CFD8"/>
      </left>
      <right style="thin">
        <color rgb="00C9CFD8"/>
      </right>
      <top style="thin">
        <color rgb="00C9CFD8"/>
      </top>
      <bottom style="thin">
        <color rgb="00C9CFD8"/>
      </bottom>
    </border>
  </borders>
  <cellStyleXfs count="1">
    <xf numFmtId="0" fontId="0" fillId="0" borderId="0"/>
  </cellStyleXfs>
  <cellXfs count="28">
    <xf numFmtId="0" fontId="0" fillId="0" borderId="0" pivotButton="0" quotePrefix="0" xfId="0"/>
    <xf numFmtId="0" fontId="1" fillId="2" borderId="0" applyAlignment="1" pivotButton="0" quotePrefix="0" xfId="0">
      <alignment vertical="center" wrapText="1"/>
    </xf>
    <xf numFmtId="0" fontId="2" fillId="3" borderId="0" applyAlignment="1" pivotButton="0" quotePrefix="0" xfId="0">
      <alignment vertical="center"/>
    </xf>
    <xf numFmtId="0" fontId="0" fillId="3" borderId="0" pivotButton="0" quotePrefix="0" xfId="0"/>
    <xf numFmtId="0" fontId="3" fillId="0" borderId="0" pivotButton="0" quotePrefix="0" xfId="0"/>
    <xf numFmtId="164" fontId="4" fillId="4" borderId="1" applyAlignment="1" pivotButton="0" quotePrefix="0" xfId="0">
      <alignment horizontal="right"/>
    </xf>
    <xf numFmtId="0" fontId="5" fillId="0" borderId="0" pivotButton="0" quotePrefix="0" xfId="0"/>
    <xf numFmtId="165" fontId="4" fillId="4" borderId="1" applyAlignment="1" pivotButton="0" quotePrefix="0" xfId="0">
      <alignment horizontal="right"/>
    </xf>
    <xf numFmtId="9" fontId="4" fillId="4" borderId="1" applyAlignment="1" pivotButton="0" quotePrefix="0" xfId="0">
      <alignment horizontal="right"/>
    </xf>
    <xf numFmtId="0" fontId="4" fillId="0" borderId="0" pivotButton="0" quotePrefix="0" xfId="0"/>
    <xf numFmtId="0" fontId="3" fillId="5" borderId="1" pivotButton="0" quotePrefix="0" xfId="0"/>
    <xf numFmtId="164" fontId="4" fillId="6" borderId="1" applyAlignment="1" pivotButton="0" quotePrefix="0" xfId="0">
      <alignment horizontal="right"/>
    </xf>
    <xf numFmtId="164" fontId="3" fillId="0" borderId="0" applyAlignment="1" pivotButton="0" quotePrefix="0" xfId="0">
      <alignment horizontal="right"/>
    </xf>
    <xf numFmtId="164" fontId="3" fillId="7" borderId="1" applyAlignment="1" pivotButton="0" quotePrefix="0" xfId="0">
      <alignment horizontal="right"/>
    </xf>
    <xf numFmtId="0" fontId="3" fillId="0" borderId="1" pivotButton="0" quotePrefix="0" xfId="0"/>
    <xf numFmtId="164" fontId="4" fillId="5" borderId="1" applyAlignment="1" pivotButton="0" quotePrefix="0" xfId="0">
      <alignment horizontal="right"/>
    </xf>
    <xf numFmtId="164" fontId="6" fillId="4" borderId="1" applyAlignment="1" pivotButton="0" quotePrefix="0" xfId="0">
      <alignment horizontal="right"/>
    </xf>
    <xf numFmtId="164" fontId="7" fillId="4" borderId="1" applyAlignment="1" pivotButton="0" quotePrefix="0" xfId="0">
      <alignment horizontal="right"/>
    </xf>
    <xf numFmtId="0" fontId="8" fillId="0" borderId="0" applyAlignment="1" pivotButton="0" quotePrefix="0" xfId="0">
      <alignment vertical="center" wrapText="1"/>
    </xf>
    <xf numFmtId="0" fontId="4" fillId="5" borderId="1" applyAlignment="1" pivotButton="0" quotePrefix="0" xfId="0">
      <alignment horizontal="center"/>
    </xf>
    <xf numFmtId="165" fontId="3" fillId="0" borderId="1" applyAlignment="1" pivotButton="0" quotePrefix="0" xfId="0">
      <alignment horizontal="right"/>
    </xf>
    <xf numFmtId="164" fontId="3" fillId="0" borderId="1" applyAlignment="1" pivotButton="0" quotePrefix="0" xfId="0">
      <alignment horizontal="right"/>
    </xf>
    <xf numFmtId="165" fontId="4" fillId="0" borderId="1" applyAlignment="1" pivotButton="0" quotePrefix="0" xfId="0">
      <alignment horizontal="right"/>
    </xf>
    <xf numFmtId="1" fontId="3" fillId="0" borderId="1" applyAlignment="1" pivotButton="0" quotePrefix="0" xfId="0">
      <alignment horizontal="right"/>
    </xf>
    <xf numFmtId="0" fontId="4" fillId="0" borderId="1" pivotButton="0" quotePrefix="0" xfId="0"/>
    <xf numFmtId="0" fontId="9" fillId="0" borderId="1" applyAlignment="1" pivotButton="0" quotePrefix="0" xfId="0">
      <alignment vertical="center" wrapText="1"/>
    </xf>
    <xf numFmtId="0" fontId="3" fillId="0" borderId="1" applyAlignment="1" pivotButton="0" quotePrefix="0" xfId="0">
      <alignment vertical="center" wrapText="1"/>
    </xf>
    <xf numFmtId="0" fontId="3" fillId="0" borderId="1"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7"/>
  <sheetViews>
    <sheetView showGridLines="0" workbookViewId="0">
      <selection activeCell="A1" sqref="A1"/>
    </sheetView>
  </sheetViews>
  <sheetFormatPr baseColWidth="8" defaultRowHeight="15"/>
  <cols>
    <col width="44" customWidth="1" min="1" max="1"/>
    <col width="18" customWidth="1" min="2" max="2"/>
    <col width="18" customWidth="1" min="3" max="3"/>
    <col width="18" customWidth="1" min="4" max="4"/>
    <col width="18" customWidth="1" min="5" max="5"/>
    <col width="6" customWidth="1" min="6" max="6"/>
    <col width="6" customWidth="1" min="7" max="7"/>
  </cols>
  <sheetData>
    <row r="1" ht="42" customHeight="1">
      <c r="A1" s="1" t="inlineStr">
        <is>
          <t>Educational tool, not insurance, financial or medical advice. It models the sequence a plan describes. Your own summary of benefits is the only place that states your four numbers. 2026 figures.</t>
        </is>
      </c>
    </row>
    <row r="3">
      <c r="A3" s="2" t="inlineStr">
        <is>
          <t>YOUR PLAN</t>
        </is>
      </c>
      <c r="B3" s="3" t="n"/>
      <c r="C3" s="3" t="n"/>
      <c r="D3" s="3" t="n"/>
      <c r="E3" s="3" t="n"/>
      <c r="F3" s="3" t="n"/>
      <c r="G3" s="3" t="n"/>
    </row>
    <row r="4">
      <c r="A4" s="4" t="inlineStr">
        <is>
          <t>Monthly premium</t>
        </is>
      </c>
      <c r="C4" s="5" t="n">
        <v>480</v>
      </c>
      <c r="D4" s="6" t="inlineStr">
        <is>
          <t>← fill the five amber cells</t>
        </is>
      </c>
    </row>
    <row r="5">
      <c r="A5" s="4" t="inlineStr">
        <is>
          <t>Deductible</t>
        </is>
      </c>
      <c r="C5" s="7" t="n">
        <v>2500</v>
      </c>
    </row>
    <row r="6">
      <c r="A6" s="4" t="inlineStr">
        <is>
          <t>Coinsurance you pay after the deductible</t>
        </is>
      </c>
      <c r="C6" s="8" t="n">
        <v>0.2</v>
      </c>
      <c r="D6" s="6" t="inlineStr">
        <is>
          <t>the share YOU pay, not the share the plan pays</t>
        </is>
      </c>
    </row>
    <row r="7">
      <c r="A7" s="4" t="inlineStr">
        <is>
          <t>Out-of-pocket maximum</t>
        </is>
      </c>
      <c r="C7" s="7" t="n">
        <v>9000</v>
      </c>
    </row>
    <row r="8">
      <c r="A8" s="4" t="inlineStr">
        <is>
          <t>Allowed charges this year</t>
        </is>
      </c>
      <c r="C8" s="7" t="n">
        <v>42000</v>
      </c>
      <c r="D8" s="6" t="inlineStr">
        <is>
          <t>the ALLOWED amount, not what the provider billed</t>
        </is>
      </c>
    </row>
    <row r="10">
      <c r="A10" s="9" t="inlineStr">
        <is>
          <t>Legal check</t>
        </is>
      </c>
      <c r="C10" s="10">
        <f>IF($C$7&gt;Rates!$B$4,"ABOVE the 2026 legal maximum - check your plan","within the 2026 legal maximum")</f>
        <v/>
      </c>
      <c r="D10" s="6" t="inlineStr">
        <is>
          <t>self-only Marketplace limit, see the Rates tab</t>
        </is>
      </c>
    </row>
    <row r="12">
      <c r="A12" s="2" t="inlineStr">
        <is>
          <t>THE SEQUENCE, STEP BY STEP</t>
        </is>
      </c>
      <c r="B12" s="3" t="n"/>
      <c r="C12" s="3" t="n"/>
      <c r="D12" s="3" t="n"/>
      <c r="E12" s="3" t="n"/>
      <c r="F12" s="3" t="n"/>
      <c r="G12" s="3" t="n"/>
    </row>
    <row r="13">
      <c r="A13" s="9" t="inlineStr">
        <is>
          <t>1. You pay the deductible</t>
        </is>
      </c>
      <c r="C13" s="11">
        <f>MIN($C$5,$C$8)</f>
        <v/>
      </c>
    </row>
    <row r="14">
      <c r="A14" s="4" t="inlineStr">
        <is>
          <t xml:space="preserve">   allowed charges left after it</t>
        </is>
      </c>
      <c r="C14" s="12">
        <f>MAX(0,$C$8-$C$13)</f>
        <v/>
      </c>
    </row>
    <row r="15">
      <c r="A15" s="9" t="inlineStr">
        <is>
          <t>2. You pay coinsurance on what is left</t>
        </is>
      </c>
      <c r="C15" s="11">
        <f>MIN($C$14*$C$6,MAX(0,$C$7-$C$13))</f>
        <v/>
      </c>
    </row>
    <row r="16">
      <c r="A16" s="4" t="inlineStr">
        <is>
          <t xml:space="preserve">   the plan pays the rest</t>
        </is>
      </c>
      <c r="C16" s="13">
        <f>MAX(0,$C$8-$C$13-$C$15)</f>
        <v/>
      </c>
    </row>
    <row r="17">
      <c r="A17" s="9" t="inlineStr">
        <is>
          <t>3. Your out-of-pocket total</t>
        </is>
      </c>
      <c r="C17" s="5">
        <f>$C$13+$C$15</f>
        <v/>
      </c>
    </row>
    <row r="18">
      <c r="A18" s="4" t="inlineStr">
        <is>
          <t xml:space="preserve">   ceiling reached?</t>
        </is>
      </c>
      <c r="C18" s="14">
        <f>IF($C$17&gt;=$C$7,"yes - the plan now pays 100%","no")</f>
        <v/>
      </c>
    </row>
    <row r="20">
      <c r="A20" s="2" t="inlineStr">
        <is>
          <t>WHERE THE CEILING LANDS, MEASURED IN ALLOWED CHARGES</t>
        </is>
      </c>
      <c r="B20" s="3" t="n"/>
      <c r="C20" s="3" t="n"/>
      <c r="D20" s="3" t="n"/>
      <c r="E20" s="3" t="n"/>
      <c r="F20" s="3" t="n"/>
      <c r="G20" s="3" t="n"/>
    </row>
    <row r="21">
      <c r="A21" s="4" t="inlineStr">
        <is>
          <t>Ceiling left after the deductible</t>
        </is>
      </c>
      <c r="C21" s="12">
        <f>MAX(0,$C$7-$C$5)</f>
        <v/>
      </c>
    </row>
    <row r="22">
      <c r="A22" s="4" t="inlineStr">
        <is>
          <t>Charges that take you there</t>
        </is>
      </c>
      <c r="C22" s="12">
        <f>IF($C$6=0,"never, with 0% coinsurance",$C$21/$C$6)</f>
        <v/>
      </c>
    </row>
    <row r="23">
      <c r="A23" s="9" t="inlineStr">
        <is>
          <t>Allowed charges at which your year is capped</t>
        </is>
      </c>
      <c r="C23" s="15">
        <f>IF($C$6=0,"-",$C$5+$C$22)</f>
        <v/>
      </c>
      <c r="D23" s="6" t="inlineStr">
        <is>
          <t>above this, covered in-network care is paid in full</t>
        </is>
      </c>
    </row>
    <row r="25">
      <c r="A25" s="2" t="inlineStr">
        <is>
          <t>WHAT A BAD YEAR ACTUALLY COSTS</t>
        </is>
      </c>
      <c r="B25" s="3" t="n"/>
      <c r="C25" s="3" t="n"/>
      <c r="D25" s="3" t="n"/>
      <c r="E25" s="3" t="n"/>
      <c r="F25" s="3" t="n"/>
      <c r="G25" s="3" t="n"/>
    </row>
    <row r="26">
      <c r="A26" s="4" t="inlineStr">
        <is>
          <t>Premiums for the year</t>
        </is>
      </c>
      <c r="C26" s="12">
        <f>$C$4*Rates!$B$8</f>
        <v/>
      </c>
      <c r="D26" s="6" t="inlineStr">
        <is>
          <t>counts toward NOTHING - HealthCare.gov says so explicitly</t>
        </is>
      </c>
    </row>
    <row r="27">
      <c r="A27" s="4" t="inlineStr">
        <is>
          <t>Out-of-pocket, capped by your ceiling</t>
        </is>
      </c>
      <c r="C27" s="12">
        <f>MIN($C$17,$C$7)</f>
        <v/>
      </c>
    </row>
    <row r="28">
      <c r="A28" s="9" t="inlineStr">
        <is>
          <t>This year, all in</t>
        </is>
      </c>
      <c r="C28" s="16">
        <f>$C$26+$C$27</f>
        <v/>
      </c>
    </row>
    <row r="30">
      <c r="A30" s="9" t="inlineStr">
        <is>
          <t>YOUR WORST POSSIBLE YEAR</t>
        </is>
      </c>
      <c r="C30" s="17">
        <f>$C$26+$C$7</f>
        <v/>
      </c>
      <c r="D30" s="6" t="inlineStr">
        <is>
          <t>premiums + the full ceiling. Knowable the day you choose the plan.</t>
        </is>
      </c>
    </row>
    <row r="32" ht="42" customHeight="1">
      <c r="A32" s="18" t="inlineStr">
        <is>
          <t>This worst case covers IN-NETWORK care, for COVERED services, at the ALLOWED amount. Out-of-network care, excluded services and charges above the allowed amount sit outside the ceiling and are not capped by it. Those three can add up to more than everything inside.</t>
        </is>
      </c>
    </row>
    <row r="34">
      <c r="A34" s="2" t="inlineStr">
        <is>
          <t>WHAT YOU PAY, AT EVERY LEVEL OF ALLOWED CHARGES</t>
        </is>
      </c>
      <c r="B34" s="3" t="n"/>
      <c r="C34" s="3" t="n"/>
      <c r="D34" s="3" t="n"/>
      <c r="E34" s="3" t="n"/>
      <c r="F34" s="3" t="n"/>
      <c r="G34" s="3" t="n"/>
    </row>
    <row r="35">
      <c r="A35" s="19" t="inlineStr">
        <is>
          <t>Allowed charges</t>
        </is>
      </c>
      <c r="B35" s="19" t="inlineStr">
        <is>
          <t>You pay</t>
        </is>
      </c>
      <c r="C35" s="19" t="inlineStr">
        <is>
          <t>Plan pays</t>
        </is>
      </c>
      <c r="D35" s="19" t="inlineStr">
        <is>
          <t>Plus premiums</t>
        </is>
      </c>
      <c r="E35" s="19" t="inlineStr">
        <is>
          <t>All in</t>
        </is>
      </c>
    </row>
    <row r="36">
      <c r="A36" s="20" t="n">
        <v>0</v>
      </c>
      <c r="B36" s="21">
        <f>MIN($C$7,MIN($A36,$C$5)+MAX(0,$A36-$C$5)*$C$6)</f>
        <v/>
      </c>
      <c r="C36" s="21">
        <f>MAX(0,$A36-$B36)</f>
        <v/>
      </c>
      <c r="D36" s="21">
        <f>$C$26</f>
        <v/>
      </c>
      <c r="E36" s="21">
        <f>$B36+$D36</f>
        <v/>
      </c>
    </row>
    <row r="37">
      <c r="A37" s="20" t="n">
        <v>5000</v>
      </c>
      <c r="B37" s="21">
        <f>MIN($C$7,MIN($A37,$C$5)+MAX(0,$A37-$C$5)*$C$6)</f>
        <v/>
      </c>
      <c r="C37" s="21">
        <f>MAX(0,$A37-$B37)</f>
        <v/>
      </c>
      <c r="D37" s="21">
        <f>$C$26</f>
        <v/>
      </c>
      <c r="E37" s="21">
        <f>$B37+$D37</f>
        <v/>
      </c>
    </row>
    <row r="38">
      <c r="A38" s="20" t="n">
        <v>10000</v>
      </c>
      <c r="B38" s="21">
        <f>MIN($C$7,MIN($A38,$C$5)+MAX(0,$A38-$C$5)*$C$6)</f>
        <v/>
      </c>
      <c r="C38" s="21">
        <f>MAX(0,$A38-$B38)</f>
        <v/>
      </c>
      <c r="D38" s="21">
        <f>$C$26</f>
        <v/>
      </c>
      <c r="E38" s="21">
        <f>$B38+$D38</f>
        <v/>
      </c>
    </row>
    <row r="39">
      <c r="A39" s="20" t="n">
        <v>15000</v>
      </c>
      <c r="B39" s="21">
        <f>MIN($C$7,MIN($A39,$C$5)+MAX(0,$A39-$C$5)*$C$6)</f>
        <v/>
      </c>
      <c r="C39" s="21">
        <f>MAX(0,$A39-$B39)</f>
        <v/>
      </c>
      <c r="D39" s="21">
        <f>$C$26</f>
        <v/>
      </c>
      <c r="E39" s="21">
        <f>$B39+$D39</f>
        <v/>
      </c>
    </row>
    <row r="40">
      <c r="A40" s="20" t="n">
        <v>20000</v>
      </c>
      <c r="B40" s="21">
        <f>MIN($C$7,MIN($A40,$C$5)+MAX(0,$A40-$C$5)*$C$6)</f>
        <v/>
      </c>
      <c r="C40" s="21">
        <f>MAX(0,$A40-$B40)</f>
        <v/>
      </c>
      <c r="D40" s="21">
        <f>$C$26</f>
        <v/>
      </c>
      <c r="E40" s="21">
        <f>$B40+$D40</f>
        <v/>
      </c>
    </row>
    <row r="41">
      <c r="A41" s="20" t="n">
        <v>25000</v>
      </c>
      <c r="B41" s="21">
        <f>MIN($C$7,MIN($A41,$C$5)+MAX(0,$A41-$C$5)*$C$6)</f>
        <v/>
      </c>
      <c r="C41" s="21">
        <f>MAX(0,$A41-$B41)</f>
        <v/>
      </c>
      <c r="D41" s="21">
        <f>$C$26</f>
        <v/>
      </c>
      <c r="E41" s="21">
        <f>$B41+$D41</f>
        <v/>
      </c>
    </row>
    <row r="42">
      <c r="A42" s="20" t="n">
        <v>30000</v>
      </c>
      <c r="B42" s="21">
        <f>MIN($C$7,MIN($A42,$C$5)+MAX(0,$A42-$C$5)*$C$6)</f>
        <v/>
      </c>
      <c r="C42" s="21">
        <f>MAX(0,$A42-$B42)</f>
        <v/>
      </c>
      <c r="D42" s="21">
        <f>$C$26</f>
        <v/>
      </c>
      <c r="E42" s="21">
        <f>$B42+$D42</f>
        <v/>
      </c>
    </row>
    <row r="43">
      <c r="A43" s="20" t="n">
        <v>35000</v>
      </c>
      <c r="B43" s="21">
        <f>MIN($C$7,MIN($A43,$C$5)+MAX(0,$A43-$C$5)*$C$6)</f>
        <v/>
      </c>
      <c r="C43" s="21">
        <f>MAX(0,$A43-$B43)</f>
        <v/>
      </c>
      <c r="D43" s="21">
        <f>$C$26</f>
        <v/>
      </c>
      <c r="E43" s="21">
        <f>$B43+$D43</f>
        <v/>
      </c>
    </row>
    <row r="44">
      <c r="A44" s="20" t="n">
        <v>40000</v>
      </c>
      <c r="B44" s="21">
        <f>MIN($C$7,MIN($A44,$C$5)+MAX(0,$A44-$C$5)*$C$6)</f>
        <v/>
      </c>
      <c r="C44" s="21">
        <f>MAX(0,$A44-$B44)</f>
        <v/>
      </c>
      <c r="D44" s="21">
        <f>$C$26</f>
        <v/>
      </c>
      <c r="E44" s="21">
        <f>$B44+$D44</f>
        <v/>
      </c>
    </row>
    <row r="45">
      <c r="A45" s="20" t="n">
        <v>45000</v>
      </c>
      <c r="B45" s="21">
        <f>MIN($C$7,MIN($A45,$C$5)+MAX(0,$A45-$C$5)*$C$6)</f>
        <v/>
      </c>
      <c r="C45" s="21">
        <f>MAX(0,$A45-$B45)</f>
        <v/>
      </c>
      <c r="D45" s="21">
        <f>$C$26</f>
        <v/>
      </c>
      <c r="E45" s="21">
        <f>$B45+$D45</f>
        <v/>
      </c>
    </row>
    <row r="46">
      <c r="A46" s="20" t="n">
        <v>50000</v>
      </c>
      <c r="B46" s="21">
        <f>MIN($C$7,MIN($A46,$C$5)+MAX(0,$A46-$C$5)*$C$6)</f>
        <v/>
      </c>
      <c r="C46" s="21">
        <f>MAX(0,$A46-$B46)</f>
        <v/>
      </c>
      <c r="D46" s="21">
        <f>$C$26</f>
        <v/>
      </c>
      <c r="E46" s="21">
        <f>$B46+$D46</f>
        <v/>
      </c>
    </row>
    <row r="47">
      <c r="A47" s="20" t="n">
        <v>55000</v>
      </c>
      <c r="B47" s="21">
        <f>MIN($C$7,MIN($A47,$C$5)+MAX(0,$A47-$C$5)*$C$6)</f>
        <v/>
      </c>
      <c r="C47" s="21">
        <f>MAX(0,$A47-$B47)</f>
        <v/>
      </c>
      <c r="D47" s="21">
        <f>$C$26</f>
        <v/>
      </c>
      <c r="E47" s="21">
        <f>$B47+$D47</f>
        <v/>
      </c>
    </row>
  </sheetData>
  <mergeCells count="2">
    <mergeCell ref="A32:G32"/>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8"/>
  <sheetViews>
    <sheetView showGridLines="0" workbookViewId="0">
      <selection activeCell="A1" sqref="A1"/>
    </sheetView>
  </sheetViews>
  <sheetFormatPr baseColWidth="8" defaultRowHeight="15"/>
  <cols>
    <col width="26" customWidth="1" min="1" max="1"/>
    <col width="40" customWidth="1" min="2" max="2"/>
    <col width="30" customWidth="1" min="3" max="3"/>
    <col width="30" customWidth="1" min="4" max="4"/>
  </cols>
  <sheetData>
    <row r="1">
      <c r="A1" s="2" t="inlineStr">
        <is>
          <t>THE ONLY ANNUAL FIGURE IN THIS FILE</t>
        </is>
      </c>
      <c r="B1" s="3" t="n"/>
      <c r="C1" s="3" t="n"/>
      <c r="D1" s="3" t="n"/>
    </row>
    <row r="3">
      <c r="A3" s="9" t="inlineStr">
        <is>
          <t>Legal maximum out-of-pocket, Marketplace plans</t>
        </is>
      </c>
    </row>
    <row r="4">
      <c r="A4" s="4" t="inlineStr">
        <is>
          <t>2026, self-only</t>
        </is>
      </c>
      <c r="B4" s="7" t="n">
        <v>10600</v>
      </c>
    </row>
    <row r="5">
      <c r="A5" s="4" t="inlineStr">
        <is>
          <t>2026, family</t>
        </is>
      </c>
      <c r="B5" s="22" t="n">
        <v>21200</v>
      </c>
    </row>
    <row r="6">
      <c r="A6" s="4" t="inlineStr">
        <is>
          <t>2027, self-only (already published)</t>
        </is>
      </c>
      <c r="B6" s="20" t="n">
        <v>12000</v>
      </c>
    </row>
    <row r="7">
      <c r="A7" s="4" t="inlineStr">
        <is>
          <t>2027, family (already published)</t>
        </is>
      </c>
      <c r="B7" s="20" t="n">
        <v>24000</v>
      </c>
    </row>
    <row r="8">
      <c r="A8" s="4" t="inlineStr">
        <is>
          <t>Months in a year</t>
        </is>
      </c>
      <c r="B8" s="23" t="n">
        <v>12</v>
      </c>
    </row>
    <row r="10">
      <c r="A10" s="2" t="inlineStr">
        <is>
          <t>THE FIVE DEFINITIONS - NONE OF THEM ANNUAL</t>
        </is>
      </c>
      <c r="B10" s="3" t="n"/>
      <c r="C10" s="3" t="n"/>
      <c r="D10" s="3" t="n"/>
    </row>
    <row r="11" ht="30" customHeight="1">
      <c r="A11" s="24" t="inlineStr">
        <is>
          <t>Premium</t>
        </is>
      </c>
      <c r="B11" s="25" t="inlineStr">
        <is>
          <t>"The amount you pay for your health insurance every month."</t>
        </is>
      </c>
    </row>
    <row r="12" ht="30" customHeight="1">
      <c r="A12" s="24" t="inlineStr">
        <is>
          <t>Deductible</t>
        </is>
      </c>
      <c r="B12" s="25" t="inlineStr">
        <is>
          <t>"The amount you pay for covered health care services before your insurance plan starts to pay."</t>
        </is>
      </c>
    </row>
    <row r="13" ht="30" customHeight="1">
      <c r="A13" s="24" t="inlineStr">
        <is>
          <t>Copayment</t>
        </is>
      </c>
      <c r="B13" s="25" t="inlineStr">
        <is>
          <t>"A fixed amount ($20, for example) you pay for a covered health care service after you've paid your deductible."</t>
        </is>
      </c>
    </row>
    <row r="14" ht="30" customHeight="1">
      <c r="A14" s="24" t="inlineStr">
        <is>
          <t>Coinsurance</t>
        </is>
      </c>
      <c r="B14" s="25" t="inlineStr">
        <is>
          <t>"The percentage of costs of a covered health care service you pay (20%, for example) after you've paid your deductible."</t>
        </is>
      </c>
    </row>
    <row r="15" ht="30" customHeight="1">
      <c r="A15" s="24" t="inlineStr">
        <is>
          <t>Out-of-pocket maximum</t>
        </is>
      </c>
      <c r="B15" s="25" t="inlineStr">
        <is>
          <t>"The most you have to pay for covered services in a plan year."</t>
        </is>
      </c>
    </row>
    <row r="16" ht="30" customHeight="1">
      <c r="A16" s="24" t="inlineStr">
        <is>
          <t>Allowed amount</t>
        </is>
      </c>
      <c r="B16" s="25" t="inlineStr">
        <is>
          <t>"The maximum amount a plan will pay for a covered health care service."</t>
        </is>
      </c>
    </row>
    <row r="18">
      <c r="A18" s="6" t="inlineStr">
        <is>
          <t>All six quoted word for word from the HealthCare.gov glossary. They do not change on January 1st - only the legal maximum above does.</t>
        </is>
      </c>
    </row>
  </sheetData>
  <mergeCells count="6">
    <mergeCell ref="B11:D11"/>
    <mergeCell ref="B14:D14"/>
    <mergeCell ref="B15:D15"/>
    <mergeCell ref="B13:D13"/>
    <mergeCell ref="B12:D12"/>
    <mergeCell ref="B16:D1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2"/>
  <sheetViews>
    <sheetView showGridLines="0" workbookViewId="0">
      <selection activeCell="A1" sqref="A1"/>
    </sheetView>
  </sheetViews>
  <sheetFormatPr baseColWidth="8" defaultRowHeight="15"/>
  <cols>
    <col width="56" customWidth="1" min="1" max="1"/>
    <col width="16" customWidth="1" min="2" max="2"/>
    <col width="32" customWidth="1" min="3" max="3"/>
    <col width="54" customWidth="1" min="4" max="4"/>
    <col width="12" customWidth="1" min="5" max="5"/>
  </cols>
  <sheetData>
    <row r="1">
      <c r="A1" s="2" t="inlineStr">
        <is>
          <t>EVERY FIGURE IN THIS FILE, AND WHERE IT COMES FROM</t>
        </is>
      </c>
      <c r="B1" s="3" t="n"/>
      <c r="C1" s="3" t="n"/>
      <c r="D1" s="3" t="n"/>
      <c r="E1" s="3" t="n"/>
    </row>
    <row r="2">
      <c r="A2" s="19" t="inlineStr">
        <is>
          <t>What</t>
        </is>
      </c>
      <c r="B2" s="19" t="inlineStr">
        <is>
          <t>Who</t>
        </is>
      </c>
      <c r="C2" s="19" t="inlineStr">
        <is>
          <t>Reference</t>
        </is>
      </c>
      <c r="D2" s="19" t="inlineStr">
        <is>
          <t>URL</t>
        </is>
      </c>
      <c r="E2" s="19" t="inlineStr">
        <is>
          <t>Checked</t>
        </is>
      </c>
    </row>
    <row r="3" ht="38" customHeight="1">
      <c r="A3" s="26" t="inlineStr">
        <is>
          <t>Premium: the amount you pay for your health insurance every month</t>
        </is>
      </c>
      <c r="B3" s="27" t="inlineStr">
        <is>
          <t>HealthCare.gov</t>
        </is>
      </c>
      <c r="C3" s="27" t="inlineStr">
        <is>
          <t>Glossary, premium</t>
        </is>
      </c>
      <c r="D3" s="27" t="inlineStr">
        <is>
          <t>https://www.healthcare.gov/glossary/premium/</t>
        </is>
      </c>
      <c r="E3" s="27" t="inlineStr">
        <is>
          <t>2026-10-13</t>
        </is>
      </c>
    </row>
    <row r="4" ht="38" customHeight="1">
      <c r="A4" s="26" t="inlineStr">
        <is>
          <t>Deductible: what you pay for covered services before the plan starts to pay</t>
        </is>
      </c>
      <c r="B4" s="27" t="inlineStr">
        <is>
          <t>HealthCare.gov</t>
        </is>
      </c>
      <c r="C4" s="27" t="inlineStr">
        <is>
          <t>Glossary, deductible</t>
        </is>
      </c>
      <c r="D4" s="27" t="inlineStr">
        <is>
          <t>https://www.healthcare.gov/glossary/deductible/</t>
        </is>
      </c>
      <c r="E4" s="27" t="inlineStr">
        <is>
          <t>2026-10-13</t>
        </is>
      </c>
    </row>
    <row r="5" ht="38" customHeight="1">
      <c r="A5" s="26" t="inlineStr">
        <is>
          <t>Copayment: a fixed amount you pay after you've paid your deductible</t>
        </is>
      </c>
      <c r="B5" s="27" t="inlineStr">
        <is>
          <t>HealthCare.gov</t>
        </is>
      </c>
      <c r="C5" s="27" t="inlineStr">
        <is>
          <t>Glossary, copayment</t>
        </is>
      </c>
      <c r="D5" s="27" t="inlineStr">
        <is>
          <t>https://www.healthcare.gov/glossary/co-payment/</t>
        </is>
      </c>
      <c r="E5" s="27" t="inlineStr">
        <is>
          <t>2026-10-13</t>
        </is>
      </c>
    </row>
    <row r="6" ht="38" customHeight="1">
      <c r="A6" s="26" t="inlineStr">
        <is>
          <t>Coinsurance: the percentage you pay after you've paid your deductible</t>
        </is>
      </c>
      <c r="B6" s="27" t="inlineStr">
        <is>
          <t>HealthCare.gov</t>
        </is>
      </c>
      <c r="C6" s="27" t="inlineStr">
        <is>
          <t>Glossary, coinsurance</t>
        </is>
      </c>
      <c r="D6" s="27" t="inlineStr">
        <is>
          <t>https://www.healthcare.gov/glossary/co-insurance/</t>
        </is>
      </c>
      <c r="E6" s="27" t="inlineStr">
        <is>
          <t>2026-10-13</t>
        </is>
      </c>
    </row>
    <row r="7" ht="38" customHeight="1">
      <c r="A7" s="26" t="inlineStr">
        <is>
          <t>Out-of-pocket maximum: the most you pay for covered services in a plan year. Premiums, non-covered services, out-of-network care and charges above the allowed amount do NOT count toward it</t>
        </is>
      </c>
      <c r="B7" s="27" t="inlineStr">
        <is>
          <t>HealthCare.gov</t>
        </is>
      </c>
      <c r="C7" s="27" t="inlineStr">
        <is>
          <t>Glossary, out-of-pocket maximum</t>
        </is>
      </c>
      <c r="D7" s="27" t="inlineStr">
        <is>
          <t>https://www.healthcare.gov/glossary/out-of-pocket-maximum-limit/</t>
        </is>
      </c>
      <c r="E7" s="27" t="inlineStr">
        <is>
          <t>2026-10-13</t>
        </is>
      </c>
    </row>
    <row r="8" ht="38" customHeight="1">
      <c r="A8" s="26" t="inlineStr">
        <is>
          <t>Allowed amount: the maximum a plan will pay for a covered service. A provider may balance bill the difference, but a preferred provider may not for covered services</t>
        </is>
      </c>
      <c r="B8" s="27" t="inlineStr">
        <is>
          <t>HealthCare.gov</t>
        </is>
      </c>
      <c r="C8" s="27" t="inlineStr">
        <is>
          <t>Glossary, allowed amount</t>
        </is>
      </c>
      <c r="D8" s="27" t="inlineStr">
        <is>
          <t>https://www.healthcare.gov/glossary/allowed-amount/</t>
        </is>
      </c>
      <c r="E8" s="27" t="inlineStr">
        <is>
          <t>2026-10-13</t>
        </is>
      </c>
    </row>
    <row r="9" ht="38" customHeight="1">
      <c r="A9" s="26" t="inlineStr">
        <is>
          <t>2026 legal maximum for Marketplace plans: $10,600 self / $21,200 family</t>
        </is>
      </c>
      <c r="B9" s="27" t="inlineStr">
        <is>
          <t>HealthCare.gov</t>
        </is>
      </c>
      <c r="C9" s="27" t="inlineStr">
        <is>
          <t>Glossary, out-of-pocket maximum</t>
        </is>
      </c>
      <c r="D9" s="27" t="inlineStr">
        <is>
          <t>https://www.healthcare.gov/glossary/out-of-pocket-maximum-limit/</t>
        </is>
      </c>
      <c r="E9" s="27" t="inlineStr">
        <is>
          <t>2026-10-13</t>
        </is>
      </c>
    </row>
    <row r="11">
      <c r="A11" s="9" t="inlineStr">
        <is>
          <t>What this file cannot know</t>
        </is>
      </c>
    </row>
    <row r="12" ht="36" customHeight="1">
      <c r="A12" s="18" t="inlineStr">
        <is>
          <t>Whether your plan applies copays before or after the deductible, what it excludes, and which providers are in network. Those are in your summary of benefits. This file models the sequence the glossary describes, not your contract.</t>
        </is>
      </c>
    </row>
  </sheetData>
  <mergeCells count="1">
    <mergeCell ref="A12:E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2026-10-13T07:22:37Z</dcterms:created>
  <dcterms:modified xmlns:dcterms="http://purl.org/dc/terms/" xmlns:xsi="http://www.w3.org/2001/XMLSchema-instance" xsi:type="dcterms:W3CDTF">2026-10-13T07:22:37Z</dcterms:modified>
</cp:coreProperties>
</file>